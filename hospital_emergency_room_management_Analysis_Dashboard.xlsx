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ml.chartshapes+xml"/>
  <Override PartName="/xl/drawings/drawing8.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F:\DATA ANALYST PROJECTS\9. EXCEL Hospital Management System\"/>
    </mc:Choice>
  </mc:AlternateContent>
  <xr:revisionPtr revIDLastSave="0" documentId="13_ncr:1_{4EDF64F2-18E6-44BD-9843-21D7EF90D0F2}" xr6:coauthVersionLast="47" xr6:coauthVersionMax="47" xr10:uidLastSave="{00000000-0000-0000-0000-000000000000}"/>
  <bookViews>
    <workbookView xWindow="-108" yWindow="-108" windowWidth="23256" windowHeight="12456" activeTab="4" xr2:uid="{FA79280F-A403-4DF8-A31E-3C9BCABCA7F8}"/>
  </bookViews>
  <sheets>
    <sheet name="Sheet1" sheetId="1" r:id="rId1"/>
    <sheet name="Daily Avg Wait Time Trend" sheetId="4" r:id="rId2"/>
    <sheet name="Daily no of Patient Trend" sheetId="3" r:id="rId3"/>
    <sheet name="Patients Satisfaction trend" sheetId="5" r:id="rId4"/>
    <sheet name="Dashboard" sheetId="2" r:id="rId5"/>
  </sheets>
  <definedNames>
    <definedName name="Slicer_Date__Month">#N/A</definedName>
    <definedName name="Slicer_Date__Year">#N/A</definedName>
  </definedNames>
  <calcPr calcId="191029"/>
  <pivotCaches>
    <pivotCache cacheId="195" r:id="rId6"/>
    <pivotCache cacheId="198" r:id="rId7"/>
    <pivotCache cacheId="201" r:id="rId8"/>
    <pivotCache cacheId="204" r:id="rId9"/>
    <pivotCache cacheId="207" r:id="rId10"/>
    <pivotCache cacheId="210" r:id="rId11"/>
    <pivotCache cacheId="213" r:id="rId12"/>
    <pivotCache cacheId="216" r:id="rId13"/>
    <pivotCache cacheId="219" r:id="rId14"/>
    <pivotCache cacheId="222" r:id="rId15"/>
    <pivotCache cacheId="225" r:id="rId16"/>
    <pivotCache cacheId="22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28f23f0d-2d29-49f8-9747-1431c6c0101c" name="Hospital Emergency Room Data" connection="Query - Hospital Emergency Room Data"/>
          <x15:modelTable id="Calendar_Table_938fa18c-e1b4-4d47-9c30-79973142a85f"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9" i="1" l="1"/>
  <c r="C48" i="1"/>
  <c r="B49" i="1"/>
  <c r="B48" i="1"/>
  <c r="A49" i="1"/>
  <c r="A48" i="1"/>
  <c r="F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21E73C-484C-4B86-A43D-46A5DA883C63}" name="Query - Calendar_Table" description="Connection to the 'Calendar_Table' query in the workbook." type="100" refreshedVersion="8" minRefreshableVersion="5">
    <extLst>
      <ext xmlns:x15="http://schemas.microsoft.com/office/spreadsheetml/2010/11/main" uri="{DE250136-89BD-433C-8126-D09CA5730AF9}">
        <x15:connection id="327ae52f-21bd-4f66-b7ce-54f65b2505c2">
          <x15:oledbPr connection="Provider=Microsoft.Mashup.OleDb.1;Data Source=$Workbook$;Location=Calendar_Table;Extended Properties=&quot;&quot;">
            <x15:dbTables>
              <x15:dbTable name="Calendar_Table"/>
            </x15:dbTables>
          </x15:oledbPr>
        </x15:connection>
      </ext>
    </extLst>
  </connection>
  <connection id="2" xr16:uid="{CEAE17C6-7F05-4A69-BA75-D4002BFE9A6B}"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d76e5e82-0c1e-4826-a8e4-4cb7308f45b0"/>
      </ext>
    </extLst>
  </connection>
  <connection id="3" xr16:uid="{62B4BB44-125E-4449-9B2C-EE61B30ACD4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<sst xmlns="http://schemas.openxmlformats.org/spreadsheetml/2006/main" count="149" uniqueCount="72">
  <si>
    <t>Distinct Count of Patient Id</t>
  </si>
  <si>
    <t>Total no of Patient</t>
  </si>
  <si>
    <t>Average of Patient Waittime</t>
  </si>
  <si>
    <t>Average of Patient Satisfaction Score</t>
  </si>
  <si>
    <t>Row Labels</t>
  </si>
  <si>
    <t>Grand Total</t>
  </si>
  <si>
    <t>Avg Wait Time</t>
  </si>
  <si>
    <t>Patient satisfaction score</t>
  </si>
  <si>
    <t>no of ptient</t>
  </si>
  <si>
    <t>Admitted</t>
  </si>
  <si>
    <t>Not Admitted</t>
  </si>
  <si>
    <t>Count of Patient Admission Flag</t>
  </si>
  <si>
    <t>Count of Patient Admission Flag2</t>
  </si>
  <si>
    <t>Admission Status</t>
  </si>
  <si>
    <t>Patient</t>
  </si>
  <si>
    <t>% Status</t>
  </si>
  <si>
    <t>% Patient</t>
  </si>
  <si>
    <t>0-9</t>
  </si>
  <si>
    <t>10-19</t>
  </si>
  <si>
    <t>20-29</t>
  </si>
  <si>
    <t>30-39</t>
  </si>
  <si>
    <t>40-49</t>
  </si>
  <si>
    <t>50-59</t>
  </si>
  <si>
    <t>60-69</t>
  </si>
  <si>
    <t>70-79</t>
  </si>
  <si>
    <t>Count of Age Group</t>
  </si>
  <si>
    <t>Delay</t>
  </si>
  <si>
    <t>Ontime</t>
  </si>
  <si>
    <t>Count of Patient Id</t>
  </si>
  <si>
    <t>No of patient by age group</t>
  </si>
  <si>
    <t>Female</t>
  </si>
  <si>
    <t>Male</t>
  </si>
  <si>
    <t>2024</t>
  </si>
  <si>
    <t>Cardiology</t>
  </si>
  <si>
    <t>Gastroenterology</t>
  </si>
  <si>
    <t>General Practice</t>
  </si>
  <si>
    <t>Neurology</t>
  </si>
  <si>
    <t>None</t>
  </si>
  <si>
    <t>Orthopedics</t>
  </si>
  <si>
    <t>Physiotherapy</t>
  </si>
  <si>
    <t>Renal</t>
  </si>
  <si>
    <t>Count of Department Referral</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</si>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</sst>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9" tint="-0.499984740745262"/>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9" tint="-0.499984740745262"/>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0" fontId="1" fillId="3" borderId="0" xfId="0" applyFont="1" applyFill="1"/>
    <xf numFmtId="10" fontId="0" fillId="0" borderId="0" xfId="0" applyNumberFormat="1"/>
    <xf numFmtId="0" fontId="0" fillId="0" borderId="0" xfId="0" applyAlignment="1">
      <alignment horizontal="center"/>
    </xf>
    <xf numFmtId="10" fontId="0" fillId="0" borderId="0" xfId="0" applyNumberFormat="1" applyAlignment="1">
      <alignment horizontal="center"/>
    </xf>
    <xf numFmtId="0" fontId="0" fillId="0" borderId="0" xfId="0" applyNumberFormat="1"/>
  </cellXfs>
  <cellStyles count="1">
    <cellStyle name="Normal" xfId="0" builtinId="0"/>
  </cellStyles>
  <dxfs count="33">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color theme="1"/>
      </font>
      <border>
        <bottom style="thin">
          <color theme="9"/>
        </bottom>
        <vertical/>
        <horizontal/>
      </border>
    </dxf>
    <dxf>
      <font>
        <b/>
        <color theme="1"/>
      </font>
      <border>
        <bottom style="thin">
          <color theme="9"/>
        </bottom>
        <vertical/>
        <horizontal/>
      </border>
    </dxf>
    <dxf>
      <font>
        <sz val="6"/>
      </font>
      <fill>
        <patternFill patternType="solid">
          <fgColor theme="9" tint="-0.499984740745262"/>
          <bgColor rgb="FF75B44A"/>
        </patternFill>
      </fill>
      <border diagonalUp="0" diagonalDown="0">
        <left/>
        <right/>
        <top/>
        <bottom/>
        <vertical/>
        <horizontal/>
      </border>
    </dxf>
  </dxfs>
  <tableStyles count="2" defaultTableStyle="TableStyleMedium2" defaultPivotStyle="PivotStyleLight16">
    <tableStyle name="My Color" pivot="0" table="0" count="10" xr9:uid="{76422852-244B-4126-9B19-D92753B2A4FB}">
      <tableStyleElement type="wholeTable" dxfId="32"/>
      <tableStyleElement type="headerRow" dxfId="31"/>
    </tableStyle>
    <tableStyle name="My Color02" pivot="0" table="0" count="9" xr9:uid="{2A5B7D3F-AC61-42F8-AA0F-FB91F8547C18}">
      <tableStyleElement type="headerRow" dxfId="30"/>
    </tableStyle>
  </tableStyles>
  <colors>
    <mruColors>
      <color rgb="FF223616"/>
      <color rgb="FF75B44A"/>
      <color rgb="FF47702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0"/>
          </font>
          <fill>
            <patternFill patternType="solid">
              <fgColor theme="9"/>
              <bgColor rgb="FF223616"/>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Colo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Color0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7.xml"/><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Project.xlsx]Sheet1!PivotTable10</c:name>
    <c:fmtId val="0"/>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dLbl>
          <c:idx val="0"/>
          <c:tx>
            <c:rich>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fld id="{93C9D86F-C000-4AC7-8EEA-6289EF0CBEF2}"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3"/>
      </c:pivotFmt>
    </c:pivotFmts>
    <c:plotArea>
      <c:layout>
        <c:manualLayout>
          <c:layoutTarget val="inner"/>
          <c:xMode val="edge"/>
          <c:yMode val="edge"/>
          <c:x val="0"/>
          <c:y val="1.6114999513949645E-2"/>
          <c:w val="1"/>
          <c:h val="0.98388500048605032"/>
        </c:manualLayout>
      </c:layout>
      <c:barChart>
        <c:barDir val="bar"/>
        <c:grouping val="clustered"/>
        <c:varyColors val="0"/>
        <c:ser>
          <c:idx val="0"/>
          <c:order val="0"/>
          <c:tx>
            <c:strRef>
              <c:f>Sheet1!$B$41</c:f>
              <c:strCache>
                <c:ptCount val="1"/>
                <c:pt idx="0">
                  <c:v>Count of Patient Admission Flag</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0-9F21-46D6-A003-DDAB2B254915}"/>
              </c:ext>
            </c:extLst>
          </c:dPt>
          <c:dLbls>
            <c:dLbl>
              <c:idx val="0"/>
              <c:tx>
                <c:rich>
                  <a:bodyPr/>
                  <a:lstStyle/>
                  <a:p>
                    <a:fld id="{93C9D86F-C000-4AC7-8EEA-6289EF0CBEF2}" type="CELLRANGE">
                      <a:rPr lang="en-US"/>
                      <a:pPr/>
                      <a:t>[CELLRANGE]</a:t>
                    </a:fld>
                    <a:endParaRPr lang="en-IN"/>
                  </a:p>
                </c:rich>
              </c:tx>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9F21-46D6-A003-DDAB2B254915}"/>
                </c:ext>
              </c:extLst>
            </c:dLbl>
            <c:spPr>
              <a:noFill/>
              <a:ln>
                <a:noFill/>
              </a:ln>
              <a:effectLst/>
            </c:spPr>
            <c:txPr>
              <a:bodyPr rot="0" spcFirstLastPara="1" vertOverflow="ellipsis"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Sheet1!$A$42:$A$44</c:f>
              <c:strCache>
                <c:ptCount val="2"/>
                <c:pt idx="0">
                  <c:v>Admitted</c:v>
                </c:pt>
                <c:pt idx="1">
                  <c:v>Not Admitted</c:v>
                </c:pt>
              </c:strCache>
            </c:strRef>
          </c:cat>
          <c:val>
            <c:numRef>
              <c:f>Sheet1!$B$42:$B$44</c:f>
              <c:numCache>
                <c:formatCode>General</c:formatCode>
                <c:ptCount val="2"/>
                <c:pt idx="0">
                  <c:v>217</c:v>
                </c:pt>
                <c:pt idx="1">
                  <c:v>252</c:v>
                </c:pt>
              </c:numCache>
            </c:numRef>
          </c:val>
          <c:extLst>
            <c:ext xmlns:c16="http://schemas.microsoft.com/office/drawing/2014/chart" uri="{C3380CC4-5D6E-409C-BE32-E72D297353CC}">
              <c16:uniqueId val="{00000005-F337-45E5-B3CF-50546D2A1C28}"/>
            </c:ext>
          </c:extLst>
        </c:ser>
        <c:ser>
          <c:idx val="1"/>
          <c:order val="1"/>
          <c:tx>
            <c:strRef>
              <c:f>Sheet1!$C$41</c:f>
              <c:strCache>
                <c:ptCount val="1"/>
                <c:pt idx="0">
                  <c:v>Count of Patient Admission Flag2</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Sheet1!$A$42:$A$44</c:f>
              <c:strCache>
                <c:ptCount val="2"/>
                <c:pt idx="0">
                  <c:v>Admitted</c:v>
                </c:pt>
                <c:pt idx="1">
                  <c:v>Not Admitted</c:v>
                </c:pt>
              </c:strCache>
            </c:strRef>
          </c:cat>
          <c:val>
            <c:numRef>
              <c:f>Sheet1!$C$42:$C$44</c:f>
              <c:numCache>
                <c:formatCode>0.00%</c:formatCode>
                <c:ptCount val="2"/>
                <c:pt idx="0">
                  <c:v>0.46268656716417911</c:v>
                </c:pt>
                <c:pt idx="1">
                  <c:v>0.53731343283582089</c:v>
                </c:pt>
              </c:numCache>
            </c:numRef>
          </c:val>
          <c:extLst>
            <c:ext xmlns:c16="http://schemas.microsoft.com/office/drawing/2014/chart" uri="{C3380CC4-5D6E-409C-BE32-E72D297353CC}">
              <c16:uniqueId val="{00000006-F337-45E5-B3CF-50546D2A1C28}"/>
            </c:ext>
          </c:extLst>
        </c:ser>
        <c:dLbls>
          <c:dLblPos val="outEnd"/>
          <c:showLegendKey val="0"/>
          <c:showVal val="1"/>
          <c:showCatName val="0"/>
          <c:showSerName val="0"/>
          <c:showPercent val="0"/>
          <c:showBubbleSize val="0"/>
        </c:dLbls>
        <c:gapWidth val="0"/>
        <c:axId val="1233125887"/>
        <c:axId val="1233119647"/>
      </c:barChart>
      <c:catAx>
        <c:axId val="1233125887"/>
        <c:scaling>
          <c:orientation val="minMax"/>
        </c:scaling>
        <c:delete val="1"/>
        <c:axPos val="l"/>
        <c:numFmt formatCode="General" sourceLinked="1"/>
        <c:majorTickMark val="none"/>
        <c:minorTickMark val="none"/>
        <c:tickLblPos val="nextTo"/>
        <c:crossAx val="1233119647"/>
        <c:crosses val="autoZero"/>
        <c:auto val="1"/>
        <c:lblAlgn val="ctr"/>
        <c:lblOffset val="100"/>
        <c:noMultiLvlLbl val="0"/>
      </c:catAx>
      <c:valAx>
        <c:axId val="1233119647"/>
        <c:scaling>
          <c:orientation val="minMax"/>
        </c:scaling>
        <c:delete val="1"/>
        <c:axPos val="b"/>
        <c:numFmt formatCode="General" sourceLinked="1"/>
        <c:majorTickMark val="none"/>
        <c:minorTickMark val="none"/>
        <c:tickLblPos val="nextTo"/>
        <c:crossAx val="12331258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Project.xlsx]Sheet1!PivotTable10</c:name>
    <c:fmtId val="2"/>
  </c:pivotSource>
  <c:chart>
    <c:autoTitleDeleted val="0"/>
    <c:pivotFmts>
      <c:pivotFmt>
        <c:idx val="0"/>
        <c:spPr>
          <a:solidFill>
            <a:schemeClr val="accent6">
              <a:lumMod val="50000"/>
            </a:schemeClr>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fld id="{F1969605-CB7B-42B0-B4D3-F48180DBACB7}"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3"/>
        <c:spPr>
          <a:solidFill>
            <a:schemeClr val="accent6">
              <a:lumMod val="50000"/>
            </a:schemeClr>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fld id="{8F0B4ABB-7F27-44DA-AB05-68DB5342229F}"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xForSave val="1"/>
              <c15:showDataLabelsRange val="1"/>
            </c:ext>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showDataLabelsRange val="1"/>
            </c:ext>
          </c:extLst>
        </c:dLbl>
      </c:pivotFmt>
      <c:pivotFmt>
        <c:idx val="5"/>
        <c:spPr>
          <a:solidFill>
            <a:schemeClr val="accent6">
              <a:lumMod val="50000"/>
            </a:schemeClr>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fld id="{F1969605-CB7B-42B0-B4D3-F48180DBACB7}"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6"/>
        <c:spPr>
          <a:solidFill>
            <a:schemeClr val="accent6">
              <a:lumMod val="50000"/>
            </a:schemeClr>
          </a:solidFill>
          <a:ln>
            <a:noFill/>
          </a:ln>
          <a:effectLst/>
        </c:spPr>
        <c:dLbl>
          <c:idx val="0"/>
          <c:tx>
            <c:rich>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fld id="{8F0B4ABB-7F27-44DA-AB05-68DB5342229F}" type="CELLRANGE">
                  <a:rPr lang="en-US"/>
                  <a:pPr>
                    <a:defRPr sz="9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horzOverflow="clip" vert="horz" wrap="non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dlblFieldTable/>
              <c15:showDataLabelsRange val="1"/>
            </c:ext>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bg1">
              <a:lumMod val="95000"/>
            </a:schemeClr>
          </a:solidFill>
          <a:ln>
            <a:noFill/>
          </a:ln>
          <a:effectLst/>
        </c:spPr>
      </c:pivotFmt>
      <c:pivotFmt>
        <c:idx val="10"/>
        <c:spPr>
          <a:solidFill>
            <a:schemeClr val="bg1">
              <a:lumMod val="95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Sheet1!$B$41</c:f>
              <c:strCache>
                <c:ptCount val="1"/>
                <c:pt idx="0">
                  <c:v>Count of Patient Admission Flag</c:v>
                </c:pt>
              </c:strCache>
            </c:strRef>
          </c:tx>
          <c:spPr>
            <a:solidFill>
              <a:schemeClr val="bg1">
                <a:lumMod val="95000"/>
              </a:schemeClr>
            </a:solidFill>
            <a:ln>
              <a:noFill/>
            </a:ln>
            <a:effectLst/>
          </c:spPr>
          <c:invertIfNegative val="0"/>
          <c:cat>
            <c:strRef>
              <c:f>Sheet1!$A$42:$A$44</c:f>
              <c:strCache>
                <c:ptCount val="2"/>
                <c:pt idx="0">
                  <c:v>Admitted</c:v>
                </c:pt>
                <c:pt idx="1">
                  <c:v>Not Admitted</c:v>
                </c:pt>
              </c:strCache>
            </c:strRef>
          </c:cat>
          <c:val>
            <c:numRef>
              <c:f>Sheet1!$B$42:$B$44</c:f>
              <c:numCache>
                <c:formatCode>General</c:formatCode>
                <c:ptCount val="2"/>
                <c:pt idx="0">
                  <c:v>217</c:v>
                </c:pt>
                <c:pt idx="1">
                  <c:v>252</c:v>
                </c:pt>
              </c:numCache>
            </c:numRef>
          </c:val>
          <c:extLst>
            <c:ext xmlns:c16="http://schemas.microsoft.com/office/drawing/2014/chart" uri="{C3380CC4-5D6E-409C-BE32-E72D297353CC}">
              <c16:uniqueId val="{00000005-2F92-45E4-9BC4-525E339F3083}"/>
            </c:ext>
          </c:extLst>
        </c:ser>
        <c:ser>
          <c:idx val="1"/>
          <c:order val="1"/>
          <c:tx>
            <c:strRef>
              <c:f>Sheet1!$C$41</c:f>
              <c:strCache>
                <c:ptCount val="1"/>
                <c:pt idx="0">
                  <c:v>Count of Patient Admission Flag2</c:v>
                </c:pt>
              </c:strCache>
            </c:strRef>
          </c:tx>
          <c:spPr>
            <a:solidFill>
              <a:schemeClr val="accent2"/>
            </a:solidFill>
            <a:ln>
              <a:noFill/>
            </a:ln>
            <a:effectLst/>
          </c:spPr>
          <c:invertIfNegative val="0"/>
          <c:cat>
            <c:strRef>
              <c:f>Sheet1!$A$42:$A$44</c:f>
              <c:strCache>
                <c:ptCount val="2"/>
                <c:pt idx="0">
                  <c:v>Admitted</c:v>
                </c:pt>
                <c:pt idx="1">
                  <c:v>Not Admitted</c:v>
                </c:pt>
              </c:strCache>
            </c:strRef>
          </c:cat>
          <c:val>
            <c:numRef>
              <c:f>Sheet1!$C$42:$C$44</c:f>
              <c:numCache>
                <c:formatCode>0.00%</c:formatCode>
                <c:ptCount val="2"/>
                <c:pt idx="0">
                  <c:v>0.46268656716417911</c:v>
                </c:pt>
                <c:pt idx="1">
                  <c:v>0.53731343283582089</c:v>
                </c:pt>
              </c:numCache>
            </c:numRef>
          </c:val>
          <c:extLst>
            <c:ext xmlns:c16="http://schemas.microsoft.com/office/drawing/2014/chart" uri="{C3380CC4-5D6E-409C-BE32-E72D297353CC}">
              <c16:uniqueId val="{00000006-2F92-45E4-9BC4-525E339F3083}"/>
            </c:ext>
          </c:extLst>
        </c:ser>
        <c:dLbls>
          <c:showLegendKey val="0"/>
          <c:showVal val="0"/>
          <c:showCatName val="0"/>
          <c:showSerName val="0"/>
          <c:showPercent val="0"/>
          <c:showBubbleSize val="0"/>
        </c:dLbls>
        <c:gapWidth val="0"/>
        <c:axId val="1233125887"/>
        <c:axId val="1233119647"/>
      </c:barChart>
      <c:catAx>
        <c:axId val="1233125887"/>
        <c:scaling>
          <c:orientation val="minMax"/>
        </c:scaling>
        <c:delete val="1"/>
        <c:axPos val="l"/>
        <c:numFmt formatCode="General" sourceLinked="1"/>
        <c:majorTickMark val="none"/>
        <c:minorTickMark val="none"/>
        <c:tickLblPos val="nextTo"/>
        <c:crossAx val="1233119647"/>
        <c:crosses val="autoZero"/>
        <c:auto val="1"/>
        <c:lblAlgn val="ctr"/>
        <c:lblOffset val="100"/>
        <c:noMultiLvlLbl val="0"/>
      </c:catAx>
      <c:valAx>
        <c:axId val="1233119647"/>
        <c:scaling>
          <c:orientation val="minMax"/>
        </c:scaling>
        <c:delete val="1"/>
        <c:axPos val="b"/>
        <c:numFmt formatCode="General" sourceLinked="1"/>
        <c:majorTickMark val="none"/>
        <c:minorTickMark val="none"/>
        <c:tickLblPos val="nextTo"/>
        <c:crossAx val="1233125887"/>
        <c:crosses val="autoZero"/>
        <c:crossBetween val="between"/>
      </c:valAx>
      <c:spPr>
        <a:solidFill>
          <a:srgbClr val="75B44A"/>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6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Project.xlsx]Sheet1!PivotTable7</c:name>
    <c:fmtId val="59"/>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b="1" u="sng"/>
              <a:t>Avg wait time trend</a:t>
            </a:r>
          </a:p>
        </c:rich>
      </c:tx>
      <c:layout>
        <c:manualLayout>
          <c:xMode val="edge"/>
          <c:yMode val="edge"/>
          <c:x val="0.42246018671059848"/>
          <c:y val="1.096491228070175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172117674990749"/>
          <c:w val="1"/>
          <c:h val="0.80827882325009237"/>
        </c:manualLayout>
      </c:layout>
      <c:areaChart>
        <c:grouping val="standard"/>
        <c:varyColors val="0"/>
        <c:ser>
          <c:idx val="0"/>
          <c:order val="0"/>
          <c:tx>
            <c:strRef>
              <c:f>Sheet1!$K$7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Sheet1!$J$8:$J$38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Sheet1!$K$8:$K$38</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1-DE57-4921-831D-1FE1B6485DD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855479071"/>
        <c:axId val="1855480031"/>
      </c:areaChart>
      <c:catAx>
        <c:axId val="1855479071"/>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855480031"/>
        <c:crosses val="autoZero"/>
        <c:auto val="1"/>
        <c:lblAlgn val="ctr"/>
        <c:lblOffset val="100"/>
        <c:noMultiLvlLbl val="0"/>
      </c:catAx>
      <c:valAx>
        <c:axId val="1855480031"/>
        <c:scaling>
          <c:orientation val="minMax"/>
        </c:scaling>
        <c:delete val="1"/>
        <c:axPos val="l"/>
        <c:numFmt formatCode="0.00" sourceLinked="1"/>
        <c:majorTickMark val="out"/>
        <c:minorTickMark val="none"/>
        <c:tickLblPos val="nextTo"/>
        <c:crossAx val="18554790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solidFill>
            <a:schemeClr val="tx1">
              <a:lumMod val="95000"/>
              <a:lumOff val="5000"/>
            </a:schemeClr>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Project.xlsx]Sheet1!PivotTable5</c:name>
    <c:fmtId val="3"/>
  </c:pivotSource>
  <c:chart>
    <c:title>
      <c:tx>
        <c:rich>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r>
              <a:rPr lang="en-US" u="sng">
                <a:solidFill>
                  <a:schemeClr val="tx1">
                    <a:lumMod val="95000"/>
                    <a:lumOff val="5000"/>
                  </a:schemeClr>
                </a:solidFill>
              </a:rPr>
              <a:t>Monthly No of Emergency Patient Trend </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lumMod val="95000"/>
                  <a:lumOff val="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areaChart>
        <c:grouping val="standard"/>
        <c:varyColors val="0"/>
        <c:ser>
          <c:idx val="0"/>
          <c:order val="0"/>
          <c:tx>
            <c:strRef>
              <c:f>Sheet1!$F$7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Sheet1!$E$8:$E$38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Sheet1!$F$8:$F$38</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1-097B-4F22-94A6-04A4AE9F7E2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94649408"/>
        <c:axId val="1094649888"/>
      </c:areaChart>
      <c:catAx>
        <c:axId val="1094649408"/>
        <c:scaling>
          <c:orientation val="minMax"/>
        </c:scaling>
        <c:delete val="0"/>
        <c:axPos val="b"/>
        <c:numFmt formatCode="General" sourceLinked="1"/>
        <c:majorTickMark val="out"/>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94649888"/>
        <c:crosses val="autoZero"/>
        <c:auto val="1"/>
        <c:lblAlgn val="ctr"/>
        <c:lblOffset val="100"/>
        <c:noMultiLvlLbl val="0"/>
      </c:catAx>
      <c:valAx>
        <c:axId val="10946498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10946494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Project.xlsx]Sheet1!PivotTable8</c:name>
    <c:fmtId val="52"/>
  </c:pivotSource>
  <c:chart>
    <c:title>
      <c:tx>
        <c:rich>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r>
              <a:rPr lang="en-US" u="sng">
                <a:solidFill>
                  <a:schemeClr val="tx1"/>
                </a:solidFill>
              </a:rPr>
              <a:t>Patients Satisfaction trend</a:t>
            </a:r>
          </a:p>
        </c:rich>
      </c:tx>
      <c:layout>
        <c:manualLayout>
          <c:xMode val="edge"/>
          <c:yMode val="edge"/>
          <c:x val="0.36516235553109522"/>
          <c:y val="2.0703933747412008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432078488813004E-2"/>
          <c:y val="7.5641727216530352E-3"/>
          <c:w val="0.96926707084014063"/>
          <c:h val="0.88731366349476581"/>
        </c:manualLayout>
      </c:layout>
      <c:areaChart>
        <c:grouping val="standard"/>
        <c:varyColors val="0"/>
        <c:ser>
          <c:idx val="0"/>
          <c:order val="0"/>
          <c:tx>
            <c:strRef>
              <c:f>Sheet1!$O$7</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6"/>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6">
                          <a:lumMod val="60000"/>
                          <a:lumOff val="40000"/>
                        </a:schemeClr>
                      </a:solidFill>
                    </a:ln>
                    <a:effectLst/>
                  </c:spPr>
                </c15:leaderLines>
              </c:ext>
            </c:extLst>
          </c:dLbls>
          <c:cat>
            <c:strRef>
              <c:f>Sheet1!$N$8:$N$35</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Sheet1!$O$8:$O$35</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1-188B-4AFE-A059-8FBA6D13CD5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41230639"/>
        <c:axId val="541233519"/>
      </c:areaChart>
      <c:catAx>
        <c:axId val="541230639"/>
        <c:scaling>
          <c:orientation val="minMax"/>
        </c:scaling>
        <c:delete val="0"/>
        <c:axPos val="b"/>
        <c:numFmt formatCode="General" sourceLinked="1"/>
        <c:majorTickMark val="none"/>
        <c:minorTickMark val="none"/>
        <c:tickLblPos val="nextTo"/>
        <c:spPr>
          <a:noFill/>
          <a:ln w="9525" cap="flat" cmpd="sng" algn="ctr">
            <a:solidFill>
              <a:schemeClr val="accent6">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41233519"/>
        <c:crosses val="autoZero"/>
        <c:auto val="1"/>
        <c:lblAlgn val="ctr"/>
        <c:lblOffset val="100"/>
        <c:noMultiLvlLbl val="0"/>
      </c:catAx>
      <c:valAx>
        <c:axId val="541233519"/>
        <c:scaling>
          <c:orientation val="minMax"/>
        </c:scaling>
        <c:delete val="1"/>
        <c:axPos val="l"/>
        <c:numFmt formatCode="0.00" sourceLinked="1"/>
        <c:majorTickMark val="out"/>
        <c:minorTickMark val="none"/>
        <c:tickLblPos val="nextTo"/>
        <c:crossAx val="5412306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6"/>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[Hospital Management Excel Project.xlsx]Sheet1!PivotTable5</c:name>
    <c:fmtId val="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7702E"/>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7702E"/>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1205461288045251"/>
          <c:w val="1"/>
          <c:h val="0.88794538711954751"/>
        </c:manualLayout>
      </c:layout>
      <c:areaChart>
        <c:grouping val="standard"/>
        <c:varyColors val="0"/>
        <c:ser>
          <c:idx val="0"/>
          <c:order val="0"/>
          <c:tx>
            <c:strRef>
              <c:f>Sheet1!$F$7</c:f>
              <c:strCache>
                <c:ptCount val="1"/>
                <c:pt idx="0">
                  <c:v>Total</c:v>
                </c:pt>
              </c:strCache>
            </c:strRef>
          </c:tx>
          <c:spPr>
            <a:solidFill>
              <a:srgbClr val="47702E"/>
            </a:solidFill>
            <a:ln w="25400">
              <a:noFill/>
            </a:ln>
            <a:effectLst/>
          </c:spPr>
          <c:cat>
            <c:strRef>
              <c:f>Sheet1!$E$8:$E$38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Sheet1!$F$8:$F$38</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2-D768-457E-A99E-F2B367CAA3C7}"/>
            </c:ext>
          </c:extLst>
        </c:ser>
        <c:dLbls>
          <c:showLegendKey val="0"/>
          <c:showVal val="0"/>
          <c:showCatName val="0"/>
          <c:showSerName val="0"/>
          <c:showPercent val="0"/>
          <c:showBubbleSize val="0"/>
        </c:dLbls>
        <c:axId val="1094649408"/>
        <c:axId val="1094649888"/>
      </c:areaChart>
      <c:catAx>
        <c:axId val="1094649408"/>
        <c:scaling>
          <c:orientation val="minMax"/>
        </c:scaling>
        <c:delete val="1"/>
        <c:axPos val="b"/>
        <c:numFmt formatCode="General" sourceLinked="1"/>
        <c:majorTickMark val="out"/>
        <c:minorTickMark val="none"/>
        <c:tickLblPos val="nextTo"/>
        <c:crossAx val="1094649888"/>
        <c:crosses val="autoZero"/>
        <c:auto val="1"/>
        <c:lblAlgn val="ctr"/>
        <c:lblOffset val="100"/>
        <c:noMultiLvlLbl val="0"/>
      </c:catAx>
      <c:valAx>
        <c:axId val="1094649888"/>
        <c:scaling>
          <c:orientation val="minMax"/>
        </c:scaling>
        <c:delete val="1"/>
        <c:axPos val="l"/>
        <c:numFmt formatCode="General" sourceLinked="1"/>
        <c:majorTickMark val="none"/>
        <c:minorTickMark val="none"/>
        <c:tickLblPos val="nextTo"/>
        <c:crossAx val="109464940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47702E"/>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Project.xlsx]Sheet1!PivotTable7</c:name>
    <c:fmtId val="5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9172117674990749"/>
          <c:w val="1"/>
          <c:h val="0.80827882325009237"/>
        </c:manualLayout>
      </c:layout>
      <c:areaChart>
        <c:grouping val="standard"/>
        <c:varyColors val="0"/>
        <c:ser>
          <c:idx val="0"/>
          <c:order val="0"/>
          <c:tx>
            <c:strRef>
              <c:f>Sheet1!$K$7</c:f>
              <c:strCache>
                <c:ptCount val="1"/>
                <c:pt idx="0">
                  <c:v>Total</c:v>
                </c:pt>
              </c:strCache>
            </c:strRef>
          </c:tx>
          <c:spPr>
            <a:solidFill>
              <a:schemeClr val="accent6">
                <a:lumMod val="50000"/>
              </a:schemeClr>
            </a:solidFill>
            <a:ln w="25400">
              <a:noFill/>
            </a:ln>
            <a:effectLst/>
          </c:spPr>
          <c:cat>
            <c:strRef>
              <c:f>Sheet1!$J$8:$J$38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Sheet1!$K$8:$K$38</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2-7A67-4849-83A9-1DD851B54507}"/>
            </c:ext>
          </c:extLst>
        </c:ser>
        <c:dLbls>
          <c:showLegendKey val="0"/>
          <c:showVal val="0"/>
          <c:showCatName val="0"/>
          <c:showSerName val="0"/>
          <c:showPercent val="0"/>
          <c:showBubbleSize val="0"/>
        </c:dLbls>
        <c:axId val="1855479071"/>
        <c:axId val="1855480031"/>
      </c:areaChart>
      <c:catAx>
        <c:axId val="1855479071"/>
        <c:scaling>
          <c:orientation val="minMax"/>
        </c:scaling>
        <c:delete val="1"/>
        <c:axPos val="b"/>
        <c:numFmt formatCode="General" sourceLinked="1"/>
        <c:majorTickMark val="out"/>
        <c:minorTickMark val="none"/>
        <c:tickLblPos val="nextTo"/>
        <c:crossAx val="1855480031"/>
        <c:crosses val="autoZero"/>
        <c:auto val="1"/>
        <c:lblAlgn val="ctr"/>
        <c:lblOffset val="100"/>
        <c:noMultiLvlLbl val="0"/>
      </c:catAx>
      <c:valAx>
        <c:axId val="1855480031"/>
        <c:scaling>
          <c:orientation val="minMax"/>
        </c:scaling>
        <c:delete val="1"/>
        <c:axPos val="l"/>
        <c:numFmt formatCode="0.00" sourceLinked="1"/>
        <c:majorTickMark val="none"/>
        <c:minorTickMark val="none"/>
        <c:tickLblPos val="nextTo"/>
        <c:crossAx val="18554790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Project.xlsx]Sheet1!PivotTable8</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7080849576926593E-2"/>
          <c:w val="1"/>
          <c:h val="0.94291915042307339"/>
        </c:manualLayout>
      </c:layout>
      <c:areaChart>
        <c:grouping val="standard"/>
        <c:varyColors val="0"/>
        <c:ser>
          <c:idx val="0"/>
          <c:order val="0"/>
          <c:tx>
            <c:strRef>
              <c:f>Sheet1!$O$7</c:f>
              <c:strCache>
                <c:ptCount val="1"/>
                <c:pt idx="0">
                  <c:v>Total</c:v>
                </c:pt>
              </c:strCache>
            </c:strRef>
          </c:tx>
          <c:spPr>
            <a:solidFill>
              <a:schemeClr val="accent6">
                <a:lumMod val="50000"/>
              </a:schemeClr>
            </a:solidFill>
            <a:ln w="25400">
              <a:noFill/>
            </a:ln>
            <a:effectLst/>
          </c:spPr>
          <c:cat>
            <c:strRef>
              <c:f>Sheet1!$N$8:$N$35</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Sheet1!$O$8:$O$35</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2-0D24-4F58-A59B-A034B34E0153}"/>
            </c:ext>
          </c:extLst>
        </c:ser>
        <c:dLbls>
          <c:showLegendKey val="0"/>
          <c:showVal val="0"/>
          <c:showCatName val="0"/>
          <c:showSerName val="0"/>
          <c:showPercent val="0"/>
          <c:showBubbleSize val="0"/>
        </c:dLbls>
        <c:axId val="541230639"/>
        <c:axId val="541233519"/>
      </c:areaChart>
      <c:catAx>
        <c:axId val="541230639"/>
        <c:scaling>
          <c:orientation val="minMax"/>
        </c:scaling>
        <c:delete val="1"/>
        <c:axPos val="b"/>
        <c:numFmt formatCode="General" sourceLinked="1"/>
        <c:majorTickMark val="out"/>
        <c:minorTickMark val="none"/>
        <c:tickLblPos val="nextTo"/>
        <c:crossAx val="541233519"/>
        <c:crosses val="autoZero"/>
        <c:auto val="1"/>
        <c:lblAlgn val="ctr"/>
        <c:lblOffset val="100"/>
        <c:noMultiLvlLbl val="0"/>
      </c:catAx>
      <c:valAx>
        <c:axId val="541233519"/>
        <c:scaling>
          <c:orientation val="minMax"/>
        </c:scaling>
        <c:delete val="1"/>
        <c:axPos val="l"/>
        <c:numFmt formatCode="0.00" sourceLinked="1"/>
        <c:majorTickMark val="none"/>
        <c:minorTickMark val="none"/>
        <c:tickLblPos val="nextTo"/>
        <c:crossAx val="54123063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chemeClr val="bg1"/>
                </a:solidFill>
              </a:rPr>
              <a:t>No. of patient by Age Group</a:t>
            </a:r>
          </a:p>
        </c:rich>
      </c:tx>
      <c:layout>
        <c:manualLayout>
          <c:xMode val="edge"/>
          <c:yMode val="edge"/>
          <c:x val="0.25783080854195306"/>
          <c:y val="0.8381282180606413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475940507436562E-3"/>
          <c:y val="7.1724628171478552E-2"/>
          <c:w val="0.96519685039370073"/>
          <c:h val="0.5935460414180721"/>
        </c:manualLayout>
      </c:layout>
      <c:barChart>
        <c:barDir val="col"/>
        <c:grouping val="clustered"/>
        <c:varyColors val="0"/>
        <c:ser>
          <c:idx val="0"/>
          <c:order val="0"/>
          <c:tx>
            <c:strRef>
              <c:f>Sheet1!$J$42</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Sheet1!$I$43:$I$51</c:f>
              <c:strCache>
                <c:ptCount val="8"/>
                <c:pt idx="0">
                  <c:v>0-9</c:v>
                </c:pt>
                <c:pt idx="1">
                  <c:v>10-19</c:v>
                </c:pt>
                <c:pt idx="2">
                  <c:v>20-29</c:v>
                </c:pt>
                <c:pt idx="3">
                  <c:v>30-39</c:v>
                </c:pt>
                <c:pt idx="4">
                  <c:v>40-49</c:v>
                </c:pt>
                <c:pt idx="5">
                  <c:v>50-59</c:v>
                </c:pt>
                <c:pt idx="6">
                  <c:v>60-69</c:v>
                </c:pt>
                <c:pt idx="7">
                  <c:v>70-79</c:v>
                </c:pt>
              </c:strCache>
            </c:strRef>
          </c:cat>
          <c:val>
            <c:numRef>
              <c:f>Sheet1!$J$43:$J$51</c:f>
              <c:numCache>
                <c:formatCode>General</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2-DCC4-409E-9C26-1800E998AC64}"/>
            </c:ext>
          </c:extLst>
        </c:ser>
        <c:dLbls>
          <c:dLblPos val="outEnd"/>
          <c:showLegendKey val="0"/>
          <c:showVal val="1"/>
          <c:showCatName val="0"/>
          <c:showSerName val="0"/>
          <c:showPercent val="0"/>
          <c:showBubbleSize val="0"/>
        </c:dLbls>
        <c:gapWidth val="219"/>
        <c:overlap val="-27"/>
        <c:axId val="113169200"/>
        <c:axId val="113170160"/>
      </c:barChart>
      <c:catAx>
        <c:axId val="11316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3170160"/>
        <c:crosses val="autoZero"/>
        <c:auto val="1"/>
        <c:lblAlgn val="ctr"/>
        <c:lblOffset val="100"/>
        <c:noMultiLvlLbl val="0"/>
      </c:catAx>
      <c:valAx>
        <c:axId val="113170160"/>
        <c:scaling>
          <c:orientation val="minMax"/>
        </c:scaling>
        <c:delete val="1"/>
        <c:axPos val="l"/>
        <c:numFmt formatCode="General" sourceLinked="1"/>
        <c:majorTickMark val="none"/>
        <c:minorTickMark val="none"/>
        <c:tickLblPos val="nextTo"/>
        <c:crossAx val="113169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Management Excel Project.xlsx]Sheet1!PivotTable6</c:name>
    <c:fmtId val="1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dk1">
              <a:tint val="88500"/>
            </a:schemeClr>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outerShdw blurRad="317500" algn="ctr" rotWithShape="0">
              <a:prstClr val="black">
                <a:alpha val="25000"/>
              </a:prstClr>
            </a:outerShdw>
          </a:effectLst>
        </c:spPr>
      </c:pivotFmt>
      <c:pivotFmt>
        <c:idx val="6"/>
        <c:spPr>
          <a:solidFill>
            <a:schemeClr val="dk1">
              <a:tint val="88500"/>
            </a:schemeClr>
          </a:solidFill>
          <a:ln>
            <a:noFill/>
          </a:ln>
          <a:effectLst>
            <a:outerShdw blurRad="317500" algn="ctr" rotWithShape="0">
              <a:prstClr val="black">
                <a:alpha val="25000"/>
              </a:prstClr>
            </a:outerShdw>
          </a:effectLst>
        </c:spPr>
      </c:pivotFmt>
    </c:pivotFmts>
    <c:plotArea>
      <c:layout>
        <c:manualLayout>
          <c:layoutTarget val="inner"/>
          <c:xMode val="edge"/>
          <c:yMode val="edge"/>
          <c:x val="1.905739783508292E-2"/>
          <c:y val="0.12697270456003937"/>
          <c:w val="0.58014105703763663"/>
          <c:h val="0.8730272954399606"/>
        </c:manualLayout>
      </c:layout>
      <c:pieChart>
        <c:varyColors val="1"/>
        <c:ser>
          <c:idx val="0"/>
          <c:order val="0"/>
          <c:tx>
            <c:strRef>
              <c:f>Sheet1!$O$42</c:f>
              <c:strCache>
                <c:ptCount val="1"/>
                <c:pt idx="0">
                  <c:v>Total</c:v>
                </c:pt>
              </c:strCache>
            </c:strRef>
          </c:tx>
          <c:dPt>
            <c:idx val="0"/>
            <c:bubble3D val="0"/>
            <c:spPr>
              <a:solidFill>
                <a:schemeClr val="dk1">
                  <a:tint val="885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0A0-4223-986D-42DAE3E630C6}"/>
              </c:ext>
            </c:extLst>
          </c:dPt>
          <c:dPt>
            <c:idx val="1"/>
            <c:bubble3D val="0"/>
            <c:spPr>
              <a:solidFill>
                <a:schemeClr val="dk1">
                  <a:tint val="55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0A0-4223-986D-42DAE3E630C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Sheet1!$N$43:$N$45</c:f>
              <c:strCache>
                <c:ptCount val="2"/>
                <c:pt idx="0">
                  <c:v>Delay</c:v>
                </c:pt>
                <c:pt idx="1">
                  <c:v>Ontime</c:v>
                </c:pt>
              </c:strCache>
            </c:strRef>
          </c:cat>
          <c:val>
            <c:numRef>
              <c:f>Sheet1!$O$43:$O$45</c:f>
              <c:numCache>
                <c:formatCode>General</c:formatCode>
                <c:ptCount val="2"/>
                <c:pt idx="0">
                  <c:v>268</c:v>
                </c:pt>
                <c:pt idx="1">
                  <c:v>201</c:v>
                </c:pt>
              </c:numCache>
            </c:numRef>
          </c:val>
          <c:extLst>
            <c:ext xmlns:c16="http://schemas.microsoft.com/office/drawing/2014/chart" uri="{C3380CC4-5D6E-409C-BE32-E72D297353CC}">
              <c16:uniqueId val="{00000006-58B4-4E52-B1BB-2F5A0EF51B4C}"/>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Entry>
      <c:layout>
        <c:manualLayout>
          <c:xMode val="edge"/>
          <c:yMode val="edge"/>
          <c:x val="0.63973182463992229"/>
          <c:y val="0.22679223025945514"/>
          <c:w val="0.33867690347524271"/>
          <c:h val="0.773208268327939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[Hospital Management Excel Project.xlsx]Sheet1!PivotTable9</c:name>
    <c:fmtId val="2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8.8765684059639928E-5"/>
          <c:y val="0.1246178060201194"/>
          <c:w val="0.6480731662064676"/>
          <c:h val="0.874007473143391"/>
        </c:manualLayout>
      </c:layout>
      <c:doughnutChart>
        <c:varyColors val="1"/>
        <c:ser>
          <c:idx val="0"/>
          <c:order val="0"/>
          <c:tx>
            <c:strRef>
              <c:f>Sheet1!$O$49</c:f>
              <c:strCache>
                <c:ptCount val="1"/>
                <c:pt idx="0">
                  <c:v>Total</c:v>
                </c:pt>
              </c:strCache>
            </c:strRef>
          </c:tx>
          <c:dPt>
            <c:idx val="0"/>
            <c:bubble3D val="0"/>
            <c:spPr>
              <a:solidFill>
                <a:schemeClr val="dk1">
                  <a:tint val="885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F8A-4348-AACC-FED07AE94A87}"/>
              </c:ext>
            </c:extLst>
          </c:dPt>
          <c:dPt>
            <c:idx val="1"/>
            <c:bubble3D val="0"/>
            <c:spPr>
              <a:solidFill>
                <a:schemeClr val="dk1">
                  <a:tint val="5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F8A-4348-AACC-FED07AE94A8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Sheet1!$N$50:$N$52</c:f>
              <c:strCache>
                <c:ptCount val="2"/>
                <c:pt idx="0">
                  <c:v>Female</c:v>
                </c:pt>
                <c:pt idx="1">
                  <c:v>Male</c:v>
                </c:pt>
              </c:strCache>
            </c:strRef>
          </c:cat>
          <c:val>
            <c:numRef>
              <c:f>Sheet1!$O$50:$O$52</c:f>
              <c:numCache>
                <c:formatCode>General</c:formatCode>
                <c:ptCount val="2"/>
                <c:pt idx="0">
                  <c:v>241</c:v>
                </c:pt>
                <c:pt idx="1">
                  <c:v>228</c:v>
                </c:pt>
              </c:numCache>
            </c:numRef>
          </c:val>
          <c:extLst>
            <c:ext xmlns:c16="http://schemas.microsoft.com/office/drawing/2014/chart" uri="{C3380CC4-5D6E-409C-BE32-E72D297353CC}">
              <c16:uniqueId val="{00000006-0837-4A47-9720-5ED3112C9DAA}"/>
            </c:ext>
          </c:extLst>
        </c:ser>
        <c:dLbls>
          <c:showLegendKey val="0"/>
          <c:showVal val="0"/>
          <c:showCatName val="0"/>
          <c:showSerName val="0"/>
          <c:showPercent val="1"/>
          <c:showBubbleSize val="0"/>
          <c:showLeaderLines val="1"/>
        </c:dLbls>
        <c:firstSliceAng val="0"/>
        <c:holeSize val="38"/>
      </c:doughnutChart>
      <c:spPr>
        <a:noFill/>
        <a:ln>
          <a:noFill/>
        </a:ln>
        <a:effectLst/>
      </c:spPr>
    </c:plotArea>
    <c:legend>
      <c:legendPos val="r"/>
      <c:layout>
        <c:manualLayout>
          <c:xMode val="edge"/>
          <c:yMode val="edge"/>
          <c:x val="0.61398048359048774"/>
          <c:y val="0.26633866998457489"/>
          <c:w val="0.35950481630847458"/>
          <c:h val="0.451213016318822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Management Excel Project.xlsx]Sheet1!PivotTable12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9616230759094315"/>
          <c:y val="4.3044005220528606E-2"/>
          <c:w val="0.39126853328590261"/>
          <c:h val="0.77209930806328253"/>
        </c:manualLayout>
      </c:layout>
      <c:barChart>
        <c:barDir val="bar"/>
        <c:grouping val="clustered"/>
        <c:varyColors val="0"/>
        <c:ser>
          <c:idx val="0"/>
          <c:order val="0"/>
          <c:tx>
            <c:strRef>
              <c:f>Sheet1!$F$53</c:f>
              <c:strCache>
                <c:ptCount val="1"/>
                <c:pt idx="0">
                  <c:v>Total</c:v>
                </c:pt>
              </c:strCache>
            </c:strRef>
          </c:tx>
          <c:spPr>
            <a:solidFill>
              <a:schemeClr val="bg1"/>
            </a:solidFill>
            <a:ln>
              <a:noFill/>
            </a:ln>
            <a:effectLst/>
          </c:spPr>
          <c:invertIfNegative val="0"/>
          <c:cat>
            <c:strRef>
              <c:f>Sheet1!$E$54:$E$62</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Sheet1!$F$54:$F$62</c:f>
              <c:numCache>
                <c:formatCode>General</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313D-444B-A3AC-C81DC0C55569}"/>
            </c:ext>
          </c:extLst>
        </c:ser>
        <c:dLbls>
          <c:showLegendKey val="0"/>
          <c:showVal val="0"/>
          <c:showCatName val="0"/>
          <c:showSerName val="0"/>
          <c:showPercent val="0"/>
          <c:showBubbleSize val="0"/>
        </c:dLbls>
        <c:gapWidth val="35"/>
        <c:axId val="447288127"/>
        <c:axId val="447291967"/>
      </c:barChart>
      <c:catAx>
        <c:axId val="4472881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47291967"/>
        <c:crosses val="autoZero"/>
        <c:auto val="1"/>
        <c:lblAlgn val="ctr"/>
        <c:lblOffset val="100"/>
        <c:noMultiLvlLbl val="0"/>
      </c:catAx>
      <c:valAx>
        <c:axId val="447291967"/>
        <c:scaling>
          <c:orientation val="minMax"/>
        </c:scaling>
        <c:delete val="1"/>
        <c:axPos val="b"/>
        <c:numFmt formatCode="General" sourceLinked="1"/>
        <c:majorTickMark val="none"/>
        <c:minorTickMark val="none"/>
        <c:tickLblPos val="nextTo"/>
        <c:crossAx val="4472881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chart" Target="../charts/chart8.xml"/><Relationship Id="rId18" Type="http://schemas.openxmlformats.org/officeDocument/2006/relationships/image" Target="../media/image10.emf"/><Relationship Id="rId3" Type="http://schemas.openxmlformats.org/officeDocument/2006/relationships/image" Target="../media/image4.png"/><Relationship Id="rId7" Type="http://schemas.openxmlformats.org/officeDocument/2006/relationships/image" Target="../media/image8.png"/><Relationship Id="rId12" Type="http://schemas.openxmlformats.org/officeDocument/2006/relationships/hyperlink" Target="#'Patients Satisfaction trend'!A1"/><Relationship Id="rId17" Type="http://schemas.openxmlformats.org/officeDocument/2006/relationships/chart" Target="../charts/chart12.xml"/><Relationship Id="rId2" Type="http://schemas.openxmlformats.org/officeDocument/2006/relationships/image" Target="../media/image3.png"/><Relationship Id="rId16" Type="http://schemas.openxmlformats.org/officeDocument/2006/relationships/chart" Target="../charts/chart11.xml"/><Relationship Id="rId1" Type="http://schemas.openxmlformats.org/officeDocument/2006/relationships/hyperlink" Target="#'Daily no of Patient Trend'!A1"/><Relationship Id="rId6" Type="http://schemas.openxmlformats.org/officeDocument/2006/relationships/image" Target="../media/image7.svg"/><Relationship Id="rId11" Type="http://schemas.openxmlformats.org/officeDocument/2006/relationships/chart" Target="../charts/chart7.xml"/><Relationship Id="rId5" Type="http://schemas.openxmlformats.org/officeDocument/2006/relationships/image" Target="../media/image6.png"/><Relationship Id="rId15" Type="http://schemas.openxmlformats.org/officeDocument/2006/relationships/chart" Target="../charts/chart10.xml"/><Relationship Id="rId10" Type="http://schemas.openxmlformats.org/officeDocument/2006/relationships/hyperlink" Target="#'Daily Avg Wait Time Trend'!A1"/><Relationship Id="rId4" Type="http://schemas.openxmlformats.org/officeDocument/2006/relationships/image" Target="../media/image5.svg"/><Relationship Id="rId9" Type="http://schemas.openxmlformats.org/officeDocument/2006/relationships/chart" Target="../charts/chart6.xml"/><Relationship Id="rId14"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xdr:from>
      <xdr:col>3</xdr:col>
      <xdr:colOff>15240</xdr:colOff>
      <xdr:row>41</xdr:row>
      <xdr:rowOff>7620</xdr:rowOff>
    </xdr:from>
    <xdr:to>
      <xdr:col>5</xdr:col>
      <xdr:colOff>53340</xdr:colOff>
      <xdr:row>43</xdr:row>
      <xdr:rowOff>53340</xdr:rowOff>
    </xdr:to>
    <xdr:graphicFrame macro="">
      <xdr:nvGraphicFramePr>
        <xdr:cNvPr id="3" name="Chart 2">
          <a:extLst>
            <a:ext uri="{FF2B5EF4-FFF2-40B4-BE49-F238E27FC236}">
              <a16:creationId xmlns:a16="http://schemas.microsoft.com/office/drawing/2014/main" id="{9E83D2B8-7ED3-253E-0925-D327AE40F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47</xdr:row>
      <xdr:rowOff>7620</xdr:rowOff>
    </xdr:from>
    <xdr:to>
      <xdr:col>4</xdr:col>
      <xdr:colOff>15240</xdr:colOff>
      <xdr:row>49</xdr:row>
      <xdr:rowOff>7620</xdr:rowOff>
    </xdr:to>
    <xdr:graphicFrame macro="">
      <xdr:nvGraphicFramePr>
        <xdr:cNvPr id="4" name="Chart 3">
          <a:extLst>
            <a:ext uri="{FF2B5EF4-FFF2-40B4-BE49-F238E27FC236}">
              <a16:creationId xmlns:a16="http://schemas.microsoft.com/office/drawing/2014/main" id="{FC0C9048-9EC3-45FC-B787-C7B062641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144780</xdr:colOff>
      <xdr:row>0</xdr:row>
      <xdr:rowOff>175260</xdr:rowOff>
    </xdr:from>
    <xdr:to>
      <xdr:col>23</xdr:col>
      <xdr:colOff>0</xdr:colOff>
      <xdr:row>19</xdr:row>
      <xdr:rowOff>175260</xdr:rowOff>
    </xdr:to>
    <xdr:graphicFrame macro="">
      <xdr:nvGraphicFramePr>
        <xdr:cNvPr id="3" name="Chart 2">
          <a:extLst>
            <a:ext uri="{FF2B5EF4-FFF2-40B4-BE49-F238E27FC236}">
              <a16:creationId xmlns:a16="http://schemas.microsoft.com/office/drawing/2014/main" id="{A2B8ADE2-5617-4C7F-A70C-B525E2104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502920</xdr:colOff>
      <xdr:row>20</xdr:row>
      <xdr:rowOff>137160</xdr:rowOff>
    </xdr:from>
    <xdr:to>
      <xdr:col>23</xdr:col>
      <xdr:colOff>0</xdr:colOff>
      <xdr:row>24</xdr:row>
      <xdr:rowOff>7620</xdr:rowOff>
    </xdr:to>
    <xdr:sp macro="" textlink="">
      <xdr:nvSpPr>
        <xdr:cNvPr id="4" name="TextBox 3">
          <a:extLst>
            <a:ext uri="{FF2B5EF4-FFF2-40B4-BE49-F238E27FC236}">
              <a16:creationId xmlns:a16="http://schemas.microsoft.com/office/drawing/2014/main" id="{F719E8F8-4596-96F4-2BB1-B96FE6951958}"/>
            </a:ext>
          </a:extLst>
        </xdr:cNvPr>
        <xdr:cNvSpPr txBox="1"/>
      </xdr:nvSpPr>
      <xdr:spPr>
        <a:xfrm>
          <a:off x="1112520" y="3794760"/>
          <a:ext cx="1290828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a:solidFill>
                <a:schemeClr val="bg1"/>
              </a:solidFill>
            </a:rPr>
            <a:t>&gt; Use an</a:t>
          </a:r>
          <a:r>
            <a:rPr lang="en-IN" sz="2000" b="0" baseline="0">
              <a:solidFill>
                <a:schemeClr val="bg1"/>
              </a:solidFill>
            </a:rPr>
            <a:t> area chart to track daily chargesand highlights days with longer wait times that might need improvement</a:t>
          </a:r>
          <a:endParaRPr lang="en-IN" sz="2000" b="0">
            <a:solidFill>
              <a:schemeClr val="bg1"/>
            </a:solidFill>
          </a:endParaRPr>
        </a:p>
      </xdr:txBody>
    </xdr:sp>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0.04393</cdr:x>
      <cdr:y>0.17544</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D74C5A9-859E-8124-9355-AEBF46204646}"/>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9600" cy="609600"/>
        </a:xfrm>
        <a:prstGeom xmlns:a="http://schemas.openxmlformats.org/drawingml/2006/main" prst="rect">
          <a:avLst/>
        </a:prstGeom>
      </cdr:spPr>
    </cdr:pic>
  </cdr:relSizeAnchor>
</c:userShapes>
</file>

<file path=xl/drawings/drawing4.xml><?xml version="1.0" encoding="utf-8"?>
<xdr:wsDr xmlns:xdr="http://schemas.openxmlformats.org/drawingml/2006/spreadsheetDrawing" xmlns:a="http://schemas.openxmlformats.org/drawingml/2006/main">
  <xdr:twoCellAnchor>
    <xdr:from>
      <xdr:col>0</xdr:col>
      <xdr:colOff>99060</xdr:colOff>
      <xdr:row>0</xdr:row>
      <xdr:rowOff>91440</xdr:rowOff>
    </xdr:from>
    <xdr:to>
      <xdr:col>23</xdr:col>
      <xdr:colOff>22860</xdr:colOff>
      <xdr:row>21</xdr:row>
      <xdr:rowOff>167640</xdr:rowOff>
    </xdr:to>
    <xdr:graphicFrame macro="">
      <xdr:nvGraphicFramePr>
        <xdr:cNvPr id="2" name="Chart 1">
          <a:extLst>
            <a:ext uri="{FF2B5EF4-FFF2-40B4-BE49-F238E27FC236}">
              <a16:creationId xmlns:a16="http://schemas.microsoft.com/office/drawing/2014/main" id="{C22CDDEB-0AA5-465A-ACDE-9DFD0C22A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571500</xdr:colOff>
      <xdr:row>22</xdr:row>
      <xdr:rowOff>99060</xdr:rowOff>
    </xdr:from>
    <xdr:to>
      <xdr:col>18</xdr:col>
      <xdr:colOff>502920</xdr:colOff>
      <xdr:row>25</xdr:row>
      <xdr:rowOff>60960</xdr:rowOff>
    </xdr:to>
    <xdr:sp macro="" textlink="">
      <xdr:nvSpPr>
        <xdr:cNvPr id="3" name="TextBox 2">
          <a:extLst>
            <a:ext uri="{FF2B5EF4-FFF2-40B4-BE49-F238E27FC236}">
              <a16:creationId xmlns:a16="http://schemas.microsoft.com/office/drawing/2014/main" id="{AC9B69F8-5B69-DCC9-714E-FBC202F259F2}"/>
            </a:ext>
          </a:extLst>
        </xdr:cNvPr>
        <xdr:cNvSpPr txBox="1"/>
      </xdr:nvSpPr>
      <xdr:spPr>
        <a:xfrm>
          <a:off x="571500" y="4122420"/>
          <a:ext cx="10904220" cy="510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&gt;</a:t>
          </a:r>
          <a:r>
            <a:rPr lang="en-IN" sz="2000" b="1" baseline="0">
              <a:solidFill>
                <a:schemeClr val="bg1"/>
              </a:solidFill>
            </a:rPr>
            <a:t> Showing a daily trend with an area sparkling to spot patterns like busy days or seasonal trends</a:t>
          </a:r>
          <a:endParaRPr lang="en-IN" sz="2000" b="1">
            <a:solidFill>
              <a:schemeClr val="bg1"/>
            </a:solidFill>
          </a:endParaRPr>
        </a:p>
      </xdr:txBody>
    </xdr:sp>
    <xdr:clientData/>
  </xdr:twoCellAnchor>
</xdr:wsDr>
</file>

<file path=xl/drawings/drawing5.xml><?xml version="1.0" encoding="utf-8"?>
<c:userShapes xmlns:c="http://schemas.openxmlformats.org/drawingml/2006/chart">
  <cdr:relSizeAnchor xmlns:cdr="http://schemas.openxmlformats.org/drawingml/2006/chartDrawing">
    <cdr:from>
      <cdr:x>0.00933</cdr:x>
      <cdr:y>0.00929</cdr:y>
    </cdr:from>
    <cdr:to>
      <cdr:x>0.04867</cdr:x>
      <cdr:y>0.11896</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ADA2B45E-328A-75B8-34B2-42FAEEFB1C5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106680" y="38100"/>
          <a:ext cx="449580" cy="44958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0</xdr:col>
      <xdr:colOff>160020</xdr:colOff>
      <xdr:row>0</xdr:row>
      <xdr:rowOff>152400</xdr:rowOff>
    </xdr:from>
    <xdr:to>
      <xdr:col>22</xdr:col>
      <xdr:colOff>594360</xdr:colOff>
      <xdr:row>21</xdr:row>
      <xdr:rowOff>152400</xdr:rowOff>
    </xdr:to>
    <xdr:graphicFrame macro="">
      <xdr:nvGraphicFramePr>
        <xdr:cNvPr id="2" name="Chart 1">
          <a:extLst>
            <a:ext uri="{FF2B5EF4-FFF2-40B4-BE49-F238E27FC236}">
              <a16:creationId xmlns:a16="http://schemas.microsoft.com/office/drawing/2014/main" id="{A902139E-2D7C-4E80-B3BC-E990C12FC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365760</xdr:colOff>
      <xdr:row>22</xdr:row>
      <xdr:rowOff>60960</xdr:rowOff>
    </xdr:from>
    <xdr:to>
      <xdr:col>20</xdr:col>
      <xdr:colOff>342900</xdr:colOff>
      <xdr:row>24</xdr:row>
      <xdr:rowOff>175260</xdr:rowOff>
    </xdr:to>
    <xdr:sp macro="" textlink="">
      <xdr:nvSpPr>
        <xdr:cNvPr id="3" name="TextBox 2">
          <a:extLst>
            <a:ext uri="{FF2B5EF4-FFF2-40B4-BE49-F238E27FC236}">
              <a16:creationId xmlns:a16="http://schemas.microsoft.com/office/drawing/2014/main" id="{7E877E18-F88C-5100-E2D0-28516BBD61D3}"/>
            </a:ext>
          </a:extLst>
        </xdr:cNvPr>
        <xdr:cNvSpPr txBox="1"/>
      </xdr:nvSpPr>
      <xdr:spPr>
        <a:xfrm>
          <a:off x="975360" y="4084320"/>
          <a:ext cx="1155954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&gt; Use an area sparkling</a:t>
          </a:r>
          <a:r>
            <a:rPr lang="en-IN" sz="2000" b="1" baseline="0">
              <a:solidFill>
                <a:schemeClr val="bg1"/>
              </a:solidFill>
            </a:rPr>
            <a:t> to show trends, spot drops in satisfaction and link them to busy time or challenges.</a:t>
          </a:r>
          <a:endParaRPr lang="en-IN" sz="2000" b="1">
            <a:solidFill>
              <a:schemeClr val="bg1"/>
            </a:solidFill>
          </a:endParaRPr>
        </a:p>
      </xdr:txBody>
    </xdr:sp>
    <xdr:clientData/>
  </xdr:twoCellAnchor>
</xdr:wsDr>
</file>

<file path=xl/drawings/drawing7.xml><?xml version="1.0" encoding="utf-8"?>
<c:userShapes xmlns:c="http://schemas.openxmlformats.org/drawingml/2006/chart">
  <cdr:relSizeAnchor xmlns:cdr="http://schemas.openxmlformats.org/drawingml/2006/chartDrawing">
    <cdr:from>
      <cdr:x>0</cdr:x>
      <cdr:y>0</cdr:y>
    </cdr:from>
    <cdr:to>
      <cdr:x>0.04403</cdr:x>
      <cdr:y>0.15717</cdr:y>
    </cdr:to>
    <cdr:pic>
      <cdr:nvPicPr>
        <cdr:cNvPr id="3" name="Graphic 2"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9646C05B-3201-B96D-FA74-61787C77629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09600" cy="609600"/>
        </a:xfrm>
        <a:prstGeom xmlns:a="http://schemas.openxmlformats.org/drawingml/2006/main" prst="rect">
          <a:avLst/>
        </a:prstGeom>
      </cdr:spPr>
    </cdr:pic>
  </cdr:relSizeAnchor>
</c:userShapes>
</file>

<file path=xl/drawings/drawing8.xml><?xml version="1.0" encoding="utf-8"?>
<xdr:wsDr xmlns:xdr="http://schemas.openxmlformats.org/drawingml/2006/spreadsheetDrawing" xmlns:a="http://schemas.openxmlformats.org/drawingml/2006/main">
  <xdr:twoCellAnchor editAs="absolute">
    <xdr:from>
      <xdr:col>0</xdr:col>
      <xdr:colOff>32726</xdr:colOff>
      <xdr:row>0</xdr:row>
      <xdr:rowOff>16829</xdr:rowOff>
    </xdr:from>
    <xdr:to>
      <xdr:col>1</xdr:col>
      <xdr:colOff>461964</xdr:colOff>
      <xdr:row>2</xdr:row>
      <xdr:rowOff>130897</xdr:rowOff>
    </xdr:to>
    <xdr:sp macro="" textlink="">
      <xdr:nvSpPr>
        <xdr:cNvPr id="3" name="Rectangle: Rounded Corners 2">
          <a:extLst>
            <a:ext uri="{FF2B5EF4-FFF2-40B4-BE49-F238E27FC236}">
              <a16:creationId xmlns:a16="http://schemas.microsoft.com/office/drawing/2014/main" id="{03C6EDAD-5CE0-4AC4-9CA7-0C5F14A53048}"/>
            </a:ext>
          </a:extLst>
        </xdr:cNvPr>
        <xdr:cNvSpPr/>
      </xdr:nvSpPr>
      <xdr:spPr>
        <a:xfrm>
          <a:off x="32726" y="16829"/>
          <a:ext cx="1038838" cy="476018"/>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11</xdr:col>
      <xdr:colOff>338137</xdr:colOff>
      <xdr:row>8</xdr:row>
      <xdr:rowOff>161925</xdr:rowOff>
    </xdr:from>
    <xdr:to>
      <xdr:col>13</xdr:col>
      <xdr:colOff>597034</xdr:colOff>
      <xdr:row>14</xdr:row>
      <xdr:rowOff>161925</xdr:rowOff>
    </xdr:to>
    <xdr:sp macro="" textlink="">
      <xdr:nvSpPr>
        <xdr:cNvPr id="4" name="Rectangle: Rounded Corners 3">
          <a:extLst>
            <a:ext uri="{FF2B5EF4-FFF2-40B4-BE49-F238E27FC236}">
              <a16:creationId xmlns:a16="http://schemas.microsoft.com/office/drawing/2014/main" id="{223C287D-982D-4516-A48A-B5D954231B14}"/>
            </a:ext>
          </a:extLst>
        </xdr:cNvPr>
        <xdr:cNvSpPr/>
      </xdr:nvSpPr>
      <xdr:spPr>
        <a:xfrm>
          <a:off x="7281862" y="1609725"/>
          <a:ext cx="1478097" cy="1085850"/>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335999</xdr:colOff>
      <xdr:row>2</xdr:row>
      <xdr:rowOff>173584</xdr:rowOff>
    </xdr:from>
    <xdr:to>
      <xdr:col>13</xdr:col>
      <xdr:colOff>580961</xdr:colOff>
      <xdr:row>8</xdr:row>
      <xdr:rowOff>104776</xdr:rowOff>
    </xdr:to>
    <xdr:sp macro="" textlink="">
      <xdr:nvSpPr>
        <xdr:cNvPr id="5" name="Rectangle: Rounded Corners 4">
          <a:extLst>
            <a:ext uri="{FF2B5EF4-FFF2-40B4-BE49-F238E27FC236}">
              <a16:creationId xmlns:a16="http://schemas.microsoft.com/office/drawing/2014/main" id="{AE873366-8F7B-4CC1-B754-F7C40D378BD0}"/>
            </a:ext>
          </a:extLst>
        </xdr:cNvPr>
        <xdr:cNvSpPr/>
      </xdr:nvSpPr>
      <xdr:spPr>
        <a:xfrm>
          <a:off x="7279724" y="535534"/>
          <a:ext cx="1464162" cy="1017042"/>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80963</xdr:colOff>
      <xdr:row>0</xdr:row>
      <xdr:rowOff>23813</xdr:rowOff>
    </xdr:from>
    <xdr:to>
      <xdr:col>13</xdr:col>
      <xdr:colOff>590551</xdr:colOff>
      <xdr:row>2</xdr:row>
      <xdr:rowOff>119063</xdr:rowOff>
    </xdr:to>
    <xdr:sp macro="" textlink="">
      <xdr:nvSpPr>
        <xdr:cNvPr id="6" name="Rectangle: Rounded Corners 5">
          <a:extLst>
            <a:ext uri="{FF2B5EF4-FFF2-40B4-BE49-F238E27FC236}">
              <a16:creationId xmlns:a16="http://schemas.microsoft.com/office/drawing/2014/main" id="{02E496BB-6E98-49C3-AD49-DBD2807F6195}"/>
            </a:ext>
          </a:extLst>
        </xdr:cNvPr>
        <xdr:cNvSpPr/>
      </xdr:nvSpPr>
      <xdr:spPr>
        <a:xfrm>
          <a:off x="4586288" y="23813"/>
          <a:ext cx="4167188" cy="457200"/>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30093</xdr:colOff>
      <xdr:row>2</xdr:row>
      <xdr:rowOff>171451</xdr:rowOff>
    </xdr:from>
    <xdr:to>
      <xdr:col>2</xdr:col>
      <xdr:colOff>319087</xdr:colOff>
      <xdr:row>6</xdr:row>
      <xdr:rowOff>108663</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C120AD40-FE50-4FDE-903A-20F946DA4D8D}"/>
            </a:ext>
          </a:extLst>
        </xdr:cNvPr>
        <xdr:cNvSpPr/>
      </xdr:nvSpPr>
      <xdr:spPr>
        <a:xfrm>
          <a:off x="30093" y="533401"/>
          <a:ext cx="1508194" cy="661112"/>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a:p>
          <a:pPr algn="l"/>
          <a:endParaRPr lang="en-IN" sz="1100"/>
        </a:p>
      </xdr:txBody>
    </xdr:sp>
    <xdr:clientData/>
  </xdr:twoCellAnchor>
  <xdr:twoCellAnchor editAs="absolute">
    <xdr:from>
      <xdr:col>8</xdr:col>
      <xdr:colOff>404812</xdr:colOff>
      <xdr:row>3</xdr:row>
      <xdr:rowOff>4763</xdr:rowOff>
    </xdr:from>
    <xdr:to>
      <xdr:col>11</xdr:col>
      <xdr:colOff>290514</xdr:colOff>
      <xdr:row>14</xdr:row>
      <xdr:rowOff>152399</xdr:rowOff>
    </xdr:to>
    <xdr:sp macro="" textlink="">
      <xdr:nvSpPr>
        <xdr:cNvPr id="11" name="Rectangle: Rounded Corners 10">
          <a:extLst>
            <a:ext uri="{FF2B5EF4-FFF2-40B4-BE49-F238E27FC236}">
              <a16:creationId xmlns:a16="http://schemas.microsoft.com/office/drawing/2014/main" id="{2E9FFC2F-D416-4976-BEE5-D38C75AB2C70}"/>
            </a:ext>
          </a:extLst>
        </xdr:cNvPr>
        <xdr:cNvSpPr/>
      </xdr:nvSpPr>
      <xdr:spPr>
        <a:xfrm>
          <a:off x="5519737" y="547688"/>
          <a:ext cx="1714502" cy="2138361"/>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xdr:col>
      <xdr:colOff>339920</xdr:colOff>
      <xdr:row>2</xdr:row>
      <xdr:rowOff>178782</xdr:rowOff>
    </xdr:from>
    <xdr:to>
      <xdr:col>8</xdr:col>
      <xdr:colOff>376238</xdr:colOff>
      <xdr:row>5</xdr:row>
      <xdr:rowOff>176212</xdr:rowOff>
    </xdr:to>
    <xdr:sp macro="" textlink="">
      <xdr:nvSpPr>
        <xdr:cNvPr id="14" name="Rectangle: Rounded Corners 13">
          <a:extLst>
            <a:ext uri="{FF2B5EF4-FFF2-40B4-BE49-F238E27FC236}">
              <a16:creationId xmlns:a16="http://schemas.microsoft.com/office/drawing/2014/main" id="{9E76F6DC-67C0-45A1-A6DD-CAC5C63299A4}"/>
            </a:ext>
          </a:extLst>
        </xdr:cNvPr>
        <xdr:cNvSpPr/>
      </xdr:nvSpPr>
      <xdr:spPr>
        <a:xfrm>
          <a:off x="1559120" y="540732"/>
          <a:ext cx="3932043" cy="540355"/>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r>
            <a:rPr lang="en-IN" sz="1100"/>
            <a:t> </a:t>
          </a:r>
        </a:p>
      </xdr:txBody>
    </xdr:sp>
    <xdr:clientData/>
  </xdr:twoCellAnchor>
  <xdr:twoCellAnchor editAs="absolute">
    <xdr:from>
      <xdr:col>2</xdr:col>
      <xdr:colOff>372817</xdr:colOff>
      <xdr:row>6</xdr:row>
      <xdr:rowOff>41720</xdr:rowOff>
    </xdr:from>
    <xdr:to>
      <xdr:col>8</xdr:col>
      <xdr:colOff>357188</xdr:colOff>
      <xdr:row>14</xdr:row>
      <xdr:rowOff>133350</xdr:rowOff>
    </xdr:to>
    <xdr:sp macro="" textlink="">
      <xdr:nvSpPr>
        <xdr:cNvPr id="18" name="Rectangle: Rounded Corners 17">
          <a:extLst>
            <a:ext uri="{FF2B5EF4-FFF2-40B4-BE49-F238E27FC236}">
              <a16:creationId xmlns:a16="http://schemas.microsoft.com/office/drawing/2014/main" id="{E7A4CF83-ED0F-4F45-B7A7-905941A0139E}"/>
            </a:ext>
          </a:extLst>
        </xdr:cNvPr>
        <xdr:cNvSpPr/>
      </xdr:nvSpPr>
      <xdr:spPr>
        <a:xfrm>
          <a:off x="1592017" y="1127570"/>
          <a:ext cx="3880096" cy="1539430"/>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solidFill>
              <a:schemeClr val="bg2">
                <a:lumMod val="10000"/>
              </a:schemeClr>
            </a:solidFill>
          </a:endParaRPr>
        </a:p>
      </xdr:txBody>
    </xdr:sp>
    <xdr:clientData/>
  </xdr:twoCellAnchor>
  <xdr:twoCellAnchor>
    <xdr:from>
      <xdr:col>1</xdr:col>
      <xdr:colOff>489867</xdr:colOff>
      <xdr:row>0</xdr:row>
      <xdr:rowOff>23110</xdr:rowOff>
    </xdr:from>
    <xdr:to>
      <xdr:col>7</xdr:col>
      <xdr:colOff>61914</xdr:colOff>
      <xdr:row>3</xdr:row>
      <xdr:rowOff>23110</xdr:rowOff>
    </xdr:to>
    <xdr:grpSp>
      <xdr:nvGrpSpPr>
        <xdr:cNvPr id="12" name="Group 11">
          <a:extLst>
            <a:ext uri="{FF2B5EF4-FFF2-40B4-BE49-F238E27FC236}">
              <a16:creationId xmlns:a16="http://schemas.microsoft.com/office/drawing/2014/main" id="{BC94542E-DF98-8E30-9819-65D44FC7A4BD}"/>
            </a:ext>
          </a:extLst>
        </xdr:cNvPr>
        <xdr:cNvGrpSpPr/>
      </xdr:nvGrpSpPr>
      <xdr:grpSpPr>
        <a:xfrm>
          <a:off x="1101348" y="23110"/>
          <a:ext cx="3476122" cy="550333"/>
          <a:chOff x="18700" y="28049"/>
          <a:chExt cx="3515484" cy="546957"/>
        </a:xfrm>
      </xdr:grpSpPr>
      <xdr:sp macro="" textlink="">
        <xdr:nvSpPr>
          <xdr:cNvPr id="2" name="Rectangle: Rounded Corners 1">
            <a:extLst>
              <a:ext uri="{FF2B5EF4-FFF2-40B4-BE49-F238E27FC236}">
                <a16:creationId xmlns:a16="http://schemas.microsoft.com/office/drawing/2014/main" id="{336BB252-3A48-FFE5-A29B-E49796D6E2BC}"/>
              </a:ext>
            </a:extLst>
          </xdr:cNvPr>
          <xdr:cNvSpPr/>
        </xdr:nvSpPr>
        <xdr:spPr>
          <a:xfrm>
            <a:off x="18700" y="28049"/>
            <a:ext cx="3515484" cy="458134"/>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0300BAB7-7EFD-3C5F-5B3D-D71F8355BFF4}"/>
              </a:ext>
            </a:extLst>
          </xdr:cNvPr>
          <xdr:cNvSpPr txBox="1"/>
        </xdr:nvSpPr>
        <xdr:spPr>
          <a:xfrm>
            <a:off x="701227" y="70124"/>
            <a:ext cx="2786209" cy="2010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tx1"/>
                </a:solidFill>
              </a:rPr>
              <a:t>Hospital Emergency Room Dashboard</a:t>
            </a:r>
          </a:p>
        </xdr:txBody>
      </xdr:sp>
      <xdr:pic>
        <xdr:nvPicPr>
          <xdr:cNvPr id="15" name="Picture 14">
            <a:extLst>
              <a:ext uri="{FF2B5EF4-FFF2-40B4-BE49-F238E27FC236}">
                <a16:creationId xmlns:a16="http://schemas.microsoft.com/office/drawing/2014/main" id="{5B736DF3-3593-D687-CADF-FC814CBD0E1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24596" t="8492" r="20929" b="15093"/>
          <a:stretch>
            <a:fillRect/>
          </a:stretch>
        </xdr:blipFill>
        <xdr:spPr>
          <a:xfrm>
            <a:off x="144920" y="42073"/>
            <a:ext cx="486184" cy="378663"/>
          </a:xfrm>
          <a:prstGeom prst="rect">
            <a:avLst/>
          </a:prstGeom>
        </xdr:spPr>
      </xdr:pic>
      <xdr:sp macro="" textlink="">
        <xdr:nvSpPr>
          <xdr:cNvPr id="16" name="TextBox 15">
            <a:extLst>
              <a:ext uri="{FF2B5EF4-FFF2-40B4-BE49-F238E27FC236}">
                <a16:creationId xmlns:a16="http://schemas.microsoft.com/office/drawing/2014/main" id="{DB545EDD-57D9-DACB-9D6F-5176F1D7A2E3}"/>
              </a:ext>
            </a:extLst>
          </xdr:cNvPr>
          <xdr:cNvSpPr txBox="1"/>
        </xdr:nvSpPr>
        <xdr:spPr>
          <a:xfrm>
            <a:off x="1598798" y="285166"/>
            <a:ext cx="1140662" cy="289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Monthly Report</a:t>
            </a:r>
          </a:p>
        </xdr:txBody>
      </xdr:sp>
    </xdr:grpSp>
    <xdr:clientData/>
  </xdr:twoCellAnchor>
  <xdr:twoCellAnchor>
    <xdr:from>
      <xdr:col>0</xdr:col>
      <xdr:colOff>280988</xdr:colOff>
      <xdr:row>3</xdr:row>
      <xdr:rowOff>157163</xdr:rowOff>
    </xdr:from>
    <xdr:to>
      <xdr:col>1</xdr:col>
      <xdr:colOff>485775</xdr:colOff>
      <xdr:row>4</xdr:row>
      <xdr:rowOff>171450</xdr:rowOff>
    </xdr:to>
    <xdr:sp macro="" textlink="">
      <xdr:nvSpPr>
        <xdr:cNvPr id="17" name="TextBox 16">
          <a:extLst>
            <a:ext uri="{FF2B5EF4-FFF2-40B4-BE49-F238E27FC236}">
              <a16:creationId xmlns:a16="http://schemas.microsoft.com/office/drawing/2014/main" id="{607393D4-89AA-9916-763F-B3A647A76663}"/>
            </a:ext>
          </a:extLst>
        </xdr:cNvPr>
        <xdr:cNvSpPr txBox="1"/>
      </xdr:nvSpPr>
      <xdr:spPr>
        <a:xfrm>
          <a:off x="280988" y="700088"/>
          <a:ext cx="814387" cy="195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No.</a:t>
          </a:r>
          <a:r>
            <a:rPr lang="en-IN" sz="1100" baseline="0">
              <a:solidFill>
                <a:schemeClr val="dk1"/>
              </a:solidFill>
              <a:effectLst/>
              <a:latin typeface="+mn-lt"/>
              <a:ea typeface="+mn-ea"/>
              <a:cs typeface="+mn-cs"/>
            </a:rPr>
            <a:t> of Patient</a:t>
          </a:r>
          <a:endParaRPr lang="en-IN">
            <a:effectLst/>
          </a:endParaRPr>
        </a:p>
      </xdr:txBody>
    </xdr:sp>
    <xdr:clientData/>
  </xdr:twoCellAnchor>
  <xdr:twoCellAnchor>
    <xdr:from>
      <xdr:col>0</xdr:col>
      <xdr:colOff>536060</xdr:colOff>
      <xdr:row>3</xdr:row>
      <xdr:rowOff>4763</xdr:rowOff>
    </xdr:from>
    <xdr:to>
      <xdr:col>1</xdr:col>
      <xdr:colOff>291098</xdr:colOff>
      <xdr:row>3</xdr:row>
      <xdr:rowOff>171450</xdr:rowOff>
    </xdr:to>
    <xdr:sp macro="" textlink="Sheet1!A5">
      <xdr:nvSpPr>
        <xdr:cNvPr id="21" name="TextBox 20">
          <a:extLst>
            <a:ext uri="{FF2B5EF4-FFF2-40B4-BE49-F238E27FC236}">
              <a16:creationId xmlns:a16="http://schemas.microsoft.com/office/drawing/2014/main" id="{75CCF1EC-EC80-7033-CA9A-AE712FA56669}"/>
            </a:ext>
          </a:extLst>
        </xdr:cNvPr>
        <xdr:cNvSpPr txBox="1"/>
      </xdr:nvSpPr>
      <xdr:spPr>
        <a:xfrm>
          <a:off x="536060" y="547688"/>
          <a:ext cx="364638" cy="166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C9D5F542-6EA7-4368-8D89-F8517FE68E61}" type="TxLink">
            <a:rPr lang="en-US" sz="1100" b="0" i="0" u="none" strike="noStrike">
              <a:solidFill>
                <a:srgbClr val="000000"/>
              </a:solidFill>
              <a:effectLst/>
              <a:latin typeface="Calibri"/>
              <a:ea typeface="Calibri"/>
              <a:cs typeface="Calibri"/>
            </a:rPr>
            <a:pPr/>
            <a:t>469</a:t>
          </a:fld>
          <a:endParaRPr lang="en-IN">
            <a:effectLst/>
          </a:endParaRPr>
        </a:p>
      </xdr:txBody>
    </xdr:sp>
    <xdr:clientData/>
  </xdr:twoCellAnchor>
  <xdr:twoCellAnchor editAs="absolute">
    <xdr:from>
      <xdr:col>0</xdr:col>
      <xdr:colOff>22719</xdr:colOff>
      <xdr:row>7</xdr:row>
      <xdr:rowOff>28575</xdr:rowOff>
    </xdr:from>
    <xdr:to>
      <xdr:col>2</xdr:col>
      <xdr:colOff>314324</xdr:colOff>
      <xdr:row>11</xdr:row>
      <xdr:rowOff>28576</xdr:rowOff>
    </xdr:to>
    <xdr:sp macro="" textlink="">
      <xdr:nvSpPr>
        <xdr:cNvPr id="22" name="Rectangle: Rounded Corners 21">
          <a:extLst>
            <a:ext uri="{FF2B5EF4-FFF2-40B4-BE49-F238E27FC236}">
              <a16:creationId xmlns:a16="http://schemas.microsoft.com/office/drawing/2014/main" id="{94E1DD93-8FBE-9274-1C7A-99A9F61F14C1}"/>
            </a:ext>
          </a:extLst>
        </xdr:cNvPr>
        <xdr:cNvSpPr/>
      </xdr:nvSpPr>
      <xdr:spPr>
        <a:xfrm>
          <a:off x="22719" y="1295400"/>
          <a:ext cx="1510805" cy="723901"/>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a:p>
          <a:pPr algn="l"/>
          <a:endParaRPr lang="en-IN" sz="1100"/>
        </a:p>
      </xdr:txBody>
    </xdr:sp>
    <xdr:clientData/>
  </xdr:twoCellAnchor>
  <xdr:twoCellAnchor>
    <xdr:from>
      <xdr:col>0</xdr:col>
      <xdr:colOff>61913</xdr:colOff>
      <xdr:row>7</xdr:row>
      <xdr:rowOff>180714</xdr:rowOff>
    </xdr:from>
    <xdr:to>
      <xdr:col>2</xdr:col>
      <xdr:colOff>19051</xdr:colOff>
      <xdr:row>9</xdr:row>
      <xdr:rowOff>27788</xdr:rowOff>
    </xdr:to>
    <xdr:sp macro="" textlink="">
      <xdr:nvSpPr>
        <xdr:cNvPr id="23" name="TextBox 22">
          <a:extLst>
            <a:ext uri="{FF2B5EF4-FFF2-40B4-BE49-F238E27FC236}">
              <a16:creationId xmlns:a16="http://schemas.microsoft.com/office/drawing/2014/main" id="{1DF0BF30-EB4C-20B7-F747-445EDD4F81BA}"/>
            </a:ext>
          </a:extLst>
        </xdr:cNvPr>
        <xdr:cNvSpPr txBox="1"/>
      </xdr:nvSpPr>
      <xdr:spPr>
        <a:xfrm>
          <a:off x="61913" y="1447539"/>
          <a:ext cx="1176338" cy="209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Avg</a:t>
          </a:r>
          <a:r>
            <a:rPr lang="en-IN" sz="1100" baseline="0">
              <a:solidFill>
                <a:schemeClr val="dk1"/>
              </a:solidFill>
              <a:effectLst/>
              <a:latin typeface="+mn-lt"/>
              <a:ea typeface="+mn-ea"/>
              <a:cs typeface="+mn-cs"/>
            </a:rPr>
            <a:t> Wait time (Min)</a:t>
          </a:r>
          <a:endParaRPr lang="en-IN">
            <a:effectLst/>
          </a:endParaRPr>
        </a:p>
      </xdr:txBody>
    </xdr:sp>
    <xdr:clientData/>
  </xdr:twoCellAnchor>
  <xdr:twoCellAnchor>
    <xdr:from>
      <xdr:col>0</xdr:col>
      <xdr:colOff>537200</xdr:colOff>
      <xdr:row>7</xdr:row>
      <xdr:rowOff>23462</xdr:rowOff>
    </xdr:from>
    <xdr:to>
      <xdr:col>1</xdr:col>
      <xdr:colOff>293816</xdr:colOff>
      <xdr:row>8</xdr:row>
      <xdr:rowOff>51511</xdr:rowOff>
    </xdr:to>
    <xdr:sp macro="" textlink="Sheet1!A10">
      <xdr:nvSpPr>
        <xdr:cNvPr id="24" name="TextBox 23">
          <a:extLst>
            <a:ext uri="{FF2B5EF4-FFF2-40B4-BE49-F238E27FC236}">
              <a16:creationId xmlns:a16="http://schemas.microsoft.com/office/drawing/2014/main" id="{059FF5EA-CDE9-D6F1-DA15-9C322F0A3A18}"/>
            </a:ext>
          </a:extLst>
        </xdr:cNvPr>
        <xdr:cNvSpPr txBox="1"/>
      </xdr:nvSpPr>
      <xdr:spPr>
        <a:xfrm>
          <a:off x="537200" y="1290287"/>
          <a:ext cx="366216" cy="209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B708BC53-462F-48C6-9869-2C4314DAAC20}" type="TxLink">
            <a:rPr lang="en-US" sz="1100" b="0" i="0" u="none" strike="noStrike">
              <a:solidFill>
                <a:srgbClr val="000000"/>
              </a:solidFill>
              <a:effectLst/>
              <a:latin typeface="Calibri"/>
              <a:ea typeface="Calibri"/>
              <a:cs typeface="Calibri"/>
            </a:rPr>
            <a:pPr/>
            <a:t>35.04</a:t>
          </a:fld>
          <a:endParaRPr lang="en-IN">
            <a:effectLst/>
          </a:endParaRPr>
        </a:p>
      </xdr:txBody>
    </xdr:sp>
    <xdr:clientData/>
  </xdr:twoCellAnchor>
  <xdr:twoCellAnchor editAs="absolute">
    <xdr:from>
      <xdr:col>0</xdr:col>
      <xdr:colOff>33338</xdr:colOff>
      <xdr:row>11</xdr:row>
      <xdr:rowOff>58844</xdr:rowOff>
    </xdr:from>
    <xdr:to>
      <xdr:col>2</xdr:col>
      <xdr:colOff>333375</xdr:colOff>
      <xdr:row>14</xdr:row>
      <xdr:rowOff>131704</xdr:rowOff>
    </xdr:to>
    <xdr:sp macro="" textlink="">
      <xdr:nvSpPr>
        <xdr:cNvPr id="25" name="Rectangle: Rounded Corners 24">
          <a:extLst>
            <a:ext uri="{FF2B5EF4-FFF2-40B4-BE49-F238E27FC236}">
              <a16:creationId xmlns:a16="http://schemas.microsoft.com/office/drawing/2014/main" id="{97B10BCE-5ADA-9D3E-D723-D70E1A65D599}"/>
            </a:ext>
          </a:extLst>
        </xdr:cNvPr>
        <xdr:cNvSpPr/>
      </xdr:nvSpPr>
      <xdr:spPr>
        <a:xfrm>
          <a:off x="33338" y="2076733"/>
          <a:ext cx="1523000" cy="623193"/>
        </a:xfrm>
        <a:prstGeom prst="roundRect">
          <a:avLst/>
        </a:prstGeom>
        <a:ln/>
      </xdr:spPr>
      <xdr:style>
        <a:lnRef idx="0">
          <a:schemeClr val="accent6"/>
        </a:lnRef>
        <a:fillRef idx="3">
          <a:schemeClr val="accent6"/>
        </a:fillRef>
        <a:effectRef idx="3">
          <a:schemeClr val="accent6"/>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lang="en-IN">
            <a:effectLst/>
          </a:endParaRPr>
        </a:p>
        <a:p>
          <a:pPr algn="l"/>
          <a:endParaRPr lang="en-IN" sz="1100"/>
        </a:p>
      </xdr:txBody>
    </xdr:sp>
    <xdr:clientData/>
  </xdr:twoCellAnchor>
  <xdr:twoCellAnchor>
    <xdr:from>
      <xdr:col>0</xdr:col>
      <xdr:colOff>62818</xdr:colOff>
      <xdr:row>12</xdr:row>
      <xdr:rowOff>99225</xdr:rowOff>
    </xdr:from>
    <xdr:to>
      <xdr:col>2</xdr:col>
      <xdr:colOff>347984</xdr:colOff>
      <xdr:row>13</xdr:row>
      <xdr:rowOff>127274</xdr:rowOff>
    </xdr:to>
    <xdr:sp macro="" textlink="">
      <xdr:nvSpPr>
        <xdr:cNvPr id="26" name="TextBox 25">
          <a:extLst>
            <a:ext uri="{FF2B5EF4-FFF2-40B4-BE49-F238E27FC236}">
              <a16:creationId xmlns:a16="http://schemas.microsoft.com/office/drawing/2014/main" id="{CFEF3DEF-8CBE-0E63-AFA9-78B7247C19AF}"/>
            </a:ext>
          </a:extLst>
        </xdr:cNvPr>
        <xdr:cNvSpPr txBox="1"/>
      </xdr:nvSpPr>
      <xdr:spPr>
        <a:xfrm>
          <a:off x="62818" y="2270925"/>
          <a:ext cx="1504366" cy="209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solidFill>
                <a:schemeClr val="dk1"/>
              </a:solidFill>
              <a:effectLst/>
              <a:latin typeface="+mn-lt"/>
              <a:ea typeface="+mn-ea"/>
              <a:cs typeface="+mn-cs"/>
            </a:rPr>
            <a:t>Patient</a:t>
          </a:r>
          <a:r>
            <a:rPr lang="en-IN" sz="1100" baseline="0">
              <a:solidFill>
                <a:schemeClr val="dk1"/>
              </a:solidFill>
              <a:effectLst/>
              <a:latin typeface="+mn-lt"/>
              <a:ea typeface="+mn-ea"/>
              <a:cs typeface="+mn-cs"/>
            </a:rPr>
            <a:t> Satisfaction Score</a:t>
          </a:r>
          <a:endParaRPr lang="en-IN">
            <a:effectLst/>
          </a:endParaRPr>
        </a:p>
      </xdr:txBody>
    </xdr:sp>
    <xdr:clientData/>
  </xdr:twoCellAnchor>
  <xdr:twoCellAnchor>
    <xdr:from>
      <xdr:col>1</xdr:col>
      <xdr:colOff>43681</xdr:colOff>
      <xdr:row>11</xdr:row>
      <xdr:rowOff>114036</xdr:rowOff>
    </xdr:from>
    <xdr:to>
      <xdr:col>1</xdr:col>
      <xdr:colOff>408319</xdr:colOff>
      <xdr:row>12</xdr:row>
      <xdr:rowOff>142085</xdr:rowOff>
    </xdr:to>
    <xdr:sp macro="" textlink="Sheet1!A15">
      <xdr:nvSpPr>
        <xdr:cNvPr id="27" name="TextBox 26">
          <a:extLst>
            <a:ext uri="{FF2B5EF4-FFF2-40B4-BE49-F238E27FC236}">
              <a16:creationId xmlns:a16="http://schemas.microsoft.com/office/drawing/2014/main" id="{CCF559DF-9759-AD67-F906-AF6FD0ACA41D}"/>
            </a:ext>
          </a:extLst>
        </xdr:cNvPr>
        <xdr:cNvSpPr txBox="1"/>
      </xdr:nvSpPr>
      <xdr:spPr>
        <a:xfrm>
          <a:off x="653281" y="2104761"/>
          <a:ext cx="364638" cy="2090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213112AF-34E7-4C3C-B20A-08107597B1B7}" type="TxLink">
            <a:rPr lang="en-US" sz="1100" b="0" i="0" u="none" strike="noStrike">
              <a:solidFill>
                <a:srgbClr val="000000"/>
              </a:solidFill>
              <a:effectLst/>
              <a:latin typeface="Calibri"/>
              <a:ea typeface="Calibri"/>
              <a:cs typeface="Calibri"/>
            </a:rPr>
            <a:pPr/>
            <a:t>4.63</a:t>
          </a:fld>
          <a:endParaRPr lang="en-IN">
            <a:effectLst/>
          </a:endParaRPr>
        </a:p>
      </xdr:txBody>
    </xdr:sp>
    <xdr:clientData/>
  </xdr:twoCellAnchor>
  <xdr:twoCellAnchor editAs="oneCell">
    <xdr:from>
      <xdr:col>2</xdr:col>
      <xdr:colOff>18319</xdr:colOff>
      <xdr:row>3</xdr:row>
      <xdr:rowOff>9526</xdr:rowOff>
    </xdr:from>
    <xdr:to>
      <xdr:col>2</xdr:col>
      <xdr:colOff>286656</xdr:colOff>
      <xdr:row>4</xdr:row>
      <xdr:rowOff>84323</xdr:rowOff>
    </xdr:to>
    <xdr:pic>
      <xdr:nvPicPr>
        <xdr:cNvPr id="19" name="Graphic 18" descr="Male profile">
          <a:extLst>
            <a:ext uri="{FF2B5EF4-FFF2-40B4-BE49-F238E27FC236}">
              <a16:creationId xmlns:a16="http://schemas.microsoft.com/office/drawing/2014/main" id="{75A992A9-B5CE-FC33-8F50-4CBAD7F0178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37519" y="552451"/>
          <a:ext cx="268337" cy="255772"/>
        </a:xfrm>
        <a:prstGeom prst="rect">
          <a:avLst/>
        </a:prstGeom>
      </xdr:spPr>
    </xdr:pic>
    <xdr:clientData/>
  </xdr:twoCellAnchor>
  <xdr:twoCellAnchor editAs="oneCell">
    <xdr:from>
      <xdr:col>1</xdr:col>
      <xdr:colOff>596161</xdr:colOff>
      <xdr:row>7</xdr:row>
      <xdr:rowOff>38100</xdr:rowOff>
    </xdr:from>
    <xdr:to>
      <xdr:col>2</xdr:col>
      <xdr:colOff>240872</xdr:colOff>
      <xdr:row>8</xdr:row>
      <xdr:rowOff>112898</xdr:rowOff>
    </xdr:to>
    <xdr:pic>
      <xdr:nvPicPr>
        <xdr:cNvPr id="28" name="Graphic 27" descr="Hourglass">
          <a:extLst>
            <a:ext uri="{FF2B5EF4-FFF2-40B4-BE49-F238E27FC236}">
              <a16:creationId xmlns:a16="http://schemas.microsoft.com/office/drawing/2014/main" id="{3E3C85F9-11BA-B1B5-BC84-8199FF3A5B7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5761" y="1304925"/>
          <a:ext cx="254311" cy="255773"/>
        </a:xfrm>
        <a:prstGeom prst="rect">
          <a:avLst/>
        </a:prstGeom>
      </xdr:spPr>
    </xdr:pic>
    <xdr:clientData/>
  </xdr:twoCellAnchor>
  <xdr:twoCellAnchor editAs="oneCell">
    <xdr:from>
      <xdr:col>1</xdr:col>
      <xdr:colOff>587099</xdr:colOff>
      <xdr:row>11</xdr:row>
      <xdr:rowOff>35350</xdr:rowOff>
    </xdr:from>
    <xdr:to>
      <xdr:col>2</xdr:col>
      <xdr:colOff>304333</xdr:colOff>
      <xdr:row>12</xdr:row>
      <xdr:rowOff>155147</xdr:rowOff>
    </xdr:to>
    <xdr:pic>
      <xdr:nvPicPr>
        <xdr:cNvPr id="30" name="Graphic 29" descr="Stars">
          <a:extLst>
            <a:ext uri="{FF2B5EF4-FFF2-40B4-BE49-F238E27FC236}">
              <a16:creationId xmlns:a16="http://schemas.microsoft.com/office/drawing/2014/main" id="{03959EA0-C62A-8A02-0858-F86F67D8E0F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96699" y="2026075"/>
          <a:ext cx="326834" cy="300772"/>
        </a:xfrm>
        <a:prstGeom prst="rect">
          <a:avLst/>
        </a:prstGeom>
      </xdr:spPr>
    </xdr:pic>
    <xdr:clientData/>
  </xdr:twoCellAnchor>
  <xdr:twoCellAnchor editAs="oneCell">
    <xdr:from>
      <xdr:col>7</xdr:col>
      <xdr:colOff>85725</xdr:colOff>
      <xdr:row>0</xdr:row>
      <xdr:rowOff>80261</xdr:rowOff>
    </xdr:from>
    <xdr:to>
      <xdr:col>13</xdr:col>
      <xdr:colOff>576263</xdr:colOff>
      <xdr:row>2</xdr:row>
      <xdr:rowOff>61913</xdr:rowOff>
    </xdr:to>
    <mc:AlternateContent xmlns:mc="http://schemas.openxmlformats.org/markup-compatibility/2006" xmlns:a14="http://schemas.microsoft.com/office/drawing/2010/main">
      <mc:Choice Requires="a14">
        <xdr:graphicFrame macro="">
          <xdr:nvGraphicFramePr>
            <xdr:cNvPr id="31" name="Date (Month)">
              <a:extLst>
                <a:ext uri="{FF2B5EF4-FFF2-40B4-BE49-F238E27FC236}">
                  <a16:creationId xmlns:a16="http://schemas.microsoft.com/office/drawing/2014/main" id="{FD05ED4F-3E01-445C-B986-7A81D9A7E809}"/>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4578253" y="80261"/>
              <a:ext cx="4136918" cy="3462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23813</xdr:colOff>
      <xdr:row>4</xdr:row>
      <xdr:rowOff>4763</xdr:rowOff>
    </xdr:from>
    <xdr:to>
      <xdr:col>2</xdr:col>
      <xdr:colOff>323850</xdr:colOff>
      <xdr:row>6</xdr:row>
      <xdr:rowOff>119064</xdr:rowOff>
    </xdr:to>
    <xdr:graphicFrame macro="">
      <xdr:nvGraphicFramePr>
        <xdr:cNvPr id="7" name="Chart 6">
          <a:hlinkClick xmlns:r="http://schemas.openxmlformats.org/officeDocument/2006/relationships" r:id="rId1"/>
          <a:extLst>
            <a:ext uri="{FF2B5EF4-FFF2-40B4-BE49-F238E27FC236}">
              <a16:creationId xmlns:a16="http://schemas.microsoft.com/office/drawing/2014/main" id="{219CEEF7-552F-4B62-B32B-92B564E842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23814</xdr:colOff>
      <xdr:row>8</xdr:row>
      <xdr:rowOff>71438</xdr:rowOff>
    </xdr:from>
    <xdr:to>
      <xdr:col>2</xdr:col>
      <xdr:colOff>319088</xdr:colOff>
      <xdr:row>11</xdr:row>
      <xdr:rowOff>33337</xdr:rowOff>
    </xdr:to>
    <xdr:graphicFrame macro="">
      <xdr:nvGraphicFramePr>
        <xdr:cNvPr id="13" name="Chart 12">
          <a:hlinkClick xmlns:r="http://schemas.openxmlformats.org/officeDocument/2006/relationships" r:id="rId10"/>
          <a:extLst>
            <a:ext uri="{FF2B5EF4-FFF2-40B4-BE49-F238E27FC236}">
              <a16:creationId xmlns:a16="http://schemas.microsoft.com/office/drawing/2014/main" id="{5F7146E8-BCCF-4C03-ACA2-5A41D2AD9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23813</xdr:colOff>
      <xdr:row>12</xdr:row>
      <xdr:rowOff>147638</xdr:rowOff>
    </xdr:from>
    <xdr:to>
      <xdr:col>2</xdr:col>
      <xdr:colOff>338138</xdr:colOff>
      <xdr:row>14</xdr:row>
      <xdr:rowOff>130896</xdr:rowOff>
    </xdr:to>
    <xdr:graphicFrame macro="">
      <xdr:nvGraphicFramePr>
        <xdr:cNvPr id="8" name="Chart 7">
          <a:hlinkClick xmlns:r="http://schemas.openxmlformats.org/officeDocument/2006/relationships" r:id="rId12"/>
          <a:extLst>
            <a:ext uri="{FF2B5EF4-FFF2-40B4-BE49-F238E27FC236}">
              <a16:creationId xmlns:a16="http://schemas.microsoft.com/office/drawing/2014/main" id="{B8BEC0FD-92A8-4239-8325-499BC112B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472159</xdr:colOff>
      <xdr:row>6</xdr:row>
      <xdr:rowOff>79473</xdr:rowOff>
    </xdr:from>
    <xdr:to>
      <xdr:col>8</xdr:col>
      <xdr:colOff>261790</xdr:colOff>
      <xdr:row>14</xdr:row>
      <xdr:rowOff>84147</xdr:rowOff>
    </xdr:to>
    <xdr:graphicFrame macro="">
      <xdr:nvGraphicFramePr>
        <xdr:cNvPr id="34" name="Chart 33">
          <a:extLst>
            <a:ext uri="{FF2B5EF4-FFF2-40B4-BE49-F238E27FC236}">
              <a16:creationId xmlns:a16="http://schemas.microsoft.com/office/drawing/2014/main" id="{3D9D5908-4E8C-4E87-8FA9-0839372549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341264</xdr:colOff>
      <xdr:row>3</xdr:row>
      <xdr:rowOff>177643</xdr:rowOff>
    </xdr:from>
    <xdr:to>
      <xdr:col>13</xdr:col>
      <xdr:colOff>575005</xdr:colOff>
      <xdr:row>8</xdr:row>
      <xdr:rowOff>98171</xdr:rowOff>
    </xdr:to>
    <xdr:graphicFrame macro="">
      <xdr:nvGraphicFramePr>
        <xdr:cNvPr id="20" name="Chart 19">
          <a:extLst>
            <a:ext uri="{FF2B5EF4-FFF2-40B4-BE49-F238E27FC236}">
              <a16:creationId xmlns:a16="http://schemas.microsoft.com/office/drawing/2014/main" id="{D0F565AF-9330-49E9-8D8B-91EAFB9E42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11</xdr:col>
      <xdr:colOff>425410</xdr:colOff>
      <xdr:row>3</xdr:row>
      <xdr:rowOff>51423</xdr:rowOff>
    </xdr:from>
    <xdr:to>
      <xdr:col>14</xdr:col>
      <xdr:colOff>28048</xdr:colOff>
      <xdr:row>4</xdr:row>
      <xdr:rowOff>56098</xdr:rowOff>
    </xdr:to>
    <xdr:sp macro="" textlink="Sheet1!A5">
      <xdr:nvSpPr>
        <xdr:cNvPr id="29" name="TextBox 28">
          <a:extLst>
            <a:ext uri="{FF2B5EF4-FFF2-40B4-BE49-F238E27FC236}">
              <a16:creationId xmlns:a16="http://schemas.microsoft.com/office/drawing/2014/main" id="{12E9EAC0-C9A0-43B4-BFE8-4F8EE2031571}"/>
            </a:ext>
          </a:extLst>
        </xdr:cNvPr>
        <xdr:cNvSpPr txBox="1"/>
      </xdr:nvSpPr>
      <xdr:spPr>
        <a:xfrm>
          <a:off x="7348858" y="598380"/>
          <a:ext cx="1425828" cy="18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solidFill>
                <a:schemeClr val="bg1"/>
              </a:solidFill>
              <a:effectLst/>
            </a:rPr>
            <a:t>Patients Attended</a:t>
          </a:r>
          <a:r>
            <a:rPr lang="en-IN" sz="800" b="1" baseline="0">
              <a:solidFill>
                <a:schemeClr val="bg1"/>
              </a:solidFill>
              <a:effectLst/>
            </a:rPr>
            <a:t> Within Time</a:t>
          </a:r>
          <a:endParaRPr lang="en-IN" sz="800" b="1">
            <a:solidFill>
              <a:schemeClr val="bg1"/>
            </a:solidFill>
            <a:effectLst/>
          </a:endParaRPr>
        </a:p>
      </xdr:txBody>
    </xdr:sp>
    <xdr:clientData/>
  </xdr:twoCellAnchor>
  <xdr:twoCellAnchor>
    <xdr:from>
      <xdr:col>11</xdr:col>
      <xdr:colOff>392687</xdr:colOff>
      <xdr:row>9</xdr:row>
      <xdr:rowOff>93496</xdr:rowOff>
    </xdr:from>
    <xdr:to>
      <xdr:col>14</xdr:col>
      <xdr:colOff>14025</xdr:colOff>
      <xdr:row>14</xdr:row>
      <xdr:rowOff>126220</xdr:rowOff>
    </xdr:to>
    <xdr:graphicFrame macro="">
      <xdr:nvGraphicFramePr>
        <xdr:cNvPr id="33" name="Chart 32">
          <a:extLst>
            <a:ext uri="{FF2B5EF4-FFF2-40B4-BE49-F238E27FC236}">
              <a16:creationId xmlns:a16="http://schemas.microsoft.com/office/drawing/2014/main" id="{E88607E7-94D4-4B54-8659-AF0C04C95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495533</xdr:colOff>
      <xdr:row>9</xdr:row>
      <xdr:rowOff>15603</xdr:rowOff>
    </xdr:from>
    <xdr:to>
      <xdr:col>13</xdr:col>
      <xdr:colOff>514232</xdr:colOff>
      <xdr:row>10</xdr:row>
      <xdr:rowOff>20278</xdr:rowOff>
    </xdr:to>
    <xdr:sp macro="" textlink="Sheet1!A5">
      <xdr:nvSpPr>
        <xdr:cNvPr id="35" name="TextBox 34">
          <a:extLst>
            <a:ext uri="{FF2B5EF4-FFF2-40B4-BE49-F238E27FC236}">
              <a16:creationId xmlns:a16="http://schemas.microsoft.com/office/drawing/2014/main" id="{66AAE73C-D515-41F1-B00B-EE972D31BF23}"/>
            </a:ext>
          </a:extLst>
        </xdr:cNvPr>
        <xdr:cNvSpPr txBox="1"/>
      </xdr:nvSpPr>
      <xdr:spPr>
        <a:xfrm>
          <a:off x="7418981" y="1656474"/>
          <a:ext cx="1234159" cy="18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solidFill>
                <a:schemeClr val="bg1"/>
              </a:solidFill>
              <a:effectLst/>
            </a:rPr>
            <a:t>No.</a:t>
          </a:r>
          <a:r>
            <a:rPr lang="en-IN" sz="800" b="1" baseline="0">
              <a:solidFill>
                <a:schemeClr val="bg1"/>
              </a:solidFill>
              <a:effectLst/>
            </a:rPr>
            <a:t> of Patients by Gender</a:t>
          </a:r>
          <a:endParaRPr lang="en-IN" sz="800" b="1">
            <a:solidFill>
              <a:schemeClr val="bg1"/>
            </a:solidFill>
            <a:effectLst/>
          </a:endParaRPr>
        </a:p>
      </xdr:txBody>
    </xdr:sp>
    <xdr:clientData/>
  </xdr:twoCellAnchor>
  <xdr:twoCellAnchor editAs="oneCell">
    <xdr:from>
      <xdr:col>0</xdr:col>
      <xdr:colOff>37399</xdr:colOff>
      <xdr:row>0</xdr:row>
      <xdr:rowOff>51423</xdr:rowOff>
    </xdr:from>
    <xdr:to>
      <xdr:col>1</xdr:col>
      <xdr:colOff>453460</xdr:colOff>
      <xdr:row>2</xdr:row>
      <xdr:rowOff>70123</xdr:rowOff>
    </xdr:to>
    <mc:AlternateContent xmlns:mc="http://schemas.openxmlformats.org/markup-compatibility/2006" xmlns:a14="http://schemas.microsoft.com/office/drawing/2010/main">
      <mc:Choice Requires="a14">
        <xdr:graphicFrame macro="">
          <xdr:nvGraphicFramePr>
            <xdr:cNvPr id="36" name="Date (Year)">
              <a:extLst>
                <a:ext uri="{FF2B5EF4-FFF2-40B4-BE49-F238E27FC236}">
                  <a16:creationId xmlns:a16="http://schemas.microsoft.com/office/drawing/2014/main" id="{C23B6FAA-DAB0-404E-BF02-0F3E3AB16CC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7399" y="51423"/>
              <a:ext cx="1027542" cy="385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416061</xdr:colOff>
      <xdr:row>2</xdr:row>
      <xdr:rowOff>172969</xdr:rowOff>
    </xdr:from>
    <xdr:to>
      <xdr:col>11</xdr:col>
      <xdr:colOff>285164</xdr:colOff>
      <xdr:row>14</xdr:row>
      <xdr:rowOff>154270</xdr:rowOff>
    </xdr:to>
    <xdr:graphicFrame macro="">
      <xdr:nvGraphicFramePr>
        <xdr:cNvPr id="37" name="Chart 36">
          <a:extLst>
            <a:ext uri="{FF2B5EF4-FFF2-40B4-BE49-F238E27FC236}">
              <a16:creationId xmlns:a16="http://schemas.microsoft.com/office/drawing/2014/main" id="{D2CECD4F-C1E4-460F-B754-9F6D3D95D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479639</xdr:colOff>
      <xdr:row>13</xdr:row>
      <xdr:rowOff>52358</xdr:rowOff>
    </xdr:from>
    <xdr:to>
      <xdr:col>11</xdr:col>
      <xdr:colOff>269271</xdr:colOff>
      <xdr:row>14</xdr:row>
      <xdr:rowOff>57033</xdr:rowOff>
    </xdr:to>
    <xdr:sp macro="" textlink="Sheet1!A5">
      <xdr:nvSpPr>
        <xdr:cNvPr id="40" name="TextBox 39">
          <a:extLst>
            <a:ext uri="{FF2B5EF4-FFF2-40B4-BE49-F238E27FC236}">
              <a16:creationId xmlns:a16="http://schemas.microsoft.com/office/drawing/2014/main" id="{FE482003-1347-4573-AFFD-868CE9E4D2A0}"/>
            </a:ext>
          </a:extLst>
        </xdr:cNvPr>
        <xdr:cNvSpPr txBox="1"/>
      </xdr:nvSpPr>
      <xdr:spPr>
        <a:xfrm>
          <a:off x="5579897" y="2422505"/>
          <a:ext cx="1612822" cy="1869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800" b="1">
              <a:solidFill>
                <a:schemeClr val="bg1"/>
              </a:solidFill>
              <a:effectLst/>
            </a:rPr>
            <a:t>No.</a:t>
          </a:r>
          <a:r>
            <a:rPr lang="en-IN" sz="800" b="1" baseline="0">
              <a:solidFill>
                <a:schemeClr val="bg1"/>
              </a:solidFill>
              <a:effectLst/>
            </a:rPr>
            <a:t> of Patient by Department Referal</a:t>
          </a:r>
          <a:endParaRPr lang="en-IN" sz="800" b="1">
            <a:solidFill>
              <a:schemeClr val="bg1"/>
            </a:solidFill>
            <a:effectLst/>
          </a:endParaRPr>
        </a:p>
      </xdr:txBody>
    </xdr:sp>
    <xdr:clientData/>
  </xdr:twoCellAnchor>
  <mc:AlternateContent xmlns:mc="http://schemas.openxmlformats.org/markup-compatibility/2006">
    <mc:Choice xmlns:a14="http://schemas.microsoft.com/office/drawing/2010/main" Requires="a14">
      <xdr:twoCellAnchor editAs="oneCell">
        <xdr:from>
          <xdr:col>2</xdr:col>
          <xdr:colOff>362184</xdr:colOff>
          <xdr:row>3</xdr:row>
          <xdr:rowOff>23519</xdr:rowOff>
        </xdr:from>
        <xdr:to>
          <xdr:col>8</xdr:col>
          <xdr:colOff>343370</xdr:colOff>
          <xdr:row>5</xdr:row>
          <xdr:rowOff>178741</xdr:rowOff>
        </xdr:to>
        <xdr:pic>
          <xdr:nvPicPr>
            <xdr:cNvPr id="42" name="Picture 41">
              <a:extLst>
                <a:ext uri="{FF2B5EF4-FFF2-40B4-BE49-F238E27FC236}">
                  <a16:creationId xmlns:a16="http://schemas.microsoft.com/office/drawing/2014/main" id="{94351AD2-DF3C-732C-19E7-B8BE748D3BA3}"/>
                </a:ext>
              </a:extLst>
            </xdr:cNvPr>
            <xdr:cNvPicPr>
              <a:picLocks noChangeAspect="1" noChangeArrowheads="1"/>
              <a:extLst>
                <a:ext uri="{84589F7E-364E-4C9E-8A38-B11213B215E9}">
                  <a14:cameraTool cellRange="Sheet1!$A$47:$D$49" spid="_x0000_s5138"/>
                </a:ext>
              </a:extLst>
            </xdr:cNvPicPr>
          </xdr:nvPicPr>
          <xdr:blipFill>
            <a:blip xmlns:r="http://schemas.openxmlformats.org/officeDocument/2006/relationships" r:embed="rId18"/>
            <a:srcRect/>
            <a:stretch>
              <a:fillRect/>
            </a:stretch>
          </xdr:blipFill>
          <xdr:spPr bwMode="auto">
            <a:xfrm>
              <a:off x="1585147" y="573852"/>
              <a:ext cx="3885260" cy="522111"/>
            </a:xfrm>
            <a:prstGeom prst="roundRect">
              <a:avLst>
                <a:gd name="adj" fmla="val 16667"/>
              </a:avLst>
            </a:prstGeom>
            <a:ln>
              <a:noFill/>
            </a:ln>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6273149" createdVersion="5" refreshedVersion="8" minRefreshableVersion="3" recordCount="0" supportSubquery="1" supportAdvancedDrill="1" xr:uid="{E5910C3B-C0C5-4D77-B0D4-C10364D5EEDE}">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Apr"/>
        <s v="2-Apr"/>
        <s v="3-Apr"/>
        <s v="4-Apr"/>
        <s v="5-Apr"/>
        <s v="6-Apr"/>
        <s v="7-Apr"/>
        <s v="8-Apr"/>
        <s v="9-Apr"/>
        <s v="10-Apr"/>
        <s v="11-Apr"/>
        <s v="12-Apr"/>
        <s v="13-Apr"/>
        <s v="14-Apr"/>
        <s v="15-Apr"/>
        <s v="16-Apr"/>
        <s v="17-Apr"/>
        <s v="18-Apr"/>
        <s v="19-Apr"/>
        <s v="20-Apr"/>
        <s v="21-Apr"/>
        <s v="22-Apr"/>
        <s v="23-Apr"/>
        <s v="24-Apr"/>
        <s v="25-Apr"/>
        <s v="26-Apr"/>
        <s v="27-Apr"/>
        <s v="28-Apr"/>
        <s v="29-Apr"/>
        <s v="30-Apr"/>
        <s v="25-Nov" u="1"/>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6620372" createdVersion="5" refreshedVersion="8" minRefreshableVersion="3" recordCount="0" supportSubquery="1" supportAdvancedDrill="1" xr:uid="{1BB21723-33E6-488C-A324-0A2EEE6B8373}">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685185" createdVersion="5" refreshedVersion="8" minRefreshableVersion="3" recordCount="0" supportSubquery="1" supportAdvancedDrill="1" xr:uid="{88C77384-84AF-46B2-941F-A6877A786299}">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7199073" createdVersion="5" refreshedVersion="8" minRefreshableVersion="3" recordCount="0" supportSubquery="1" supportAdvancedDrill="1" xr:uid="{BF94E86F-E1EE-44CA-A92E-6397ECD3C8E4}">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7893519" createdVersion="5" refreshedVersion="8" minRefreshableVersion="3" recordCount="0" supportSubquery="1" supportAdvancedDrill="1" xr:uid="{36C88544-4F9C-484C-AF68-E7D2D64D0E81}">
  <cacheSource type="external" connectionId="3"/>
  <cacheFields count="4">
    <cacheField name="[Calendar_Table].[Date (Day)].[Date (Day)]" caption="Date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8587966" createdVersion="5" refreshedVersion="8" minRefreshableVersion="3" recordCount="0" supportSubquery="1" supportAdvancedDrill="1" xr:uid="{38F9490B-EF82-4E70-9742-5B9F6B68D7E9}">
  <cacheSource type="external" connectionId="3"/>
  <cacheFields count="4">
    <cacheField name="[Calendar_Table].[Date (Day)].[Date (Day)]" caption="Date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9282405" createdVersion="5" refreshedVersion="8" minRefreshableVersion="3" recordCount="0" supportSubquery="1" supportAdvancedDrill="1" xr:uid="{54A6F3E4-7406-4D15-A09C-82952900C772}">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2" level="32767">
      <extLst>
        <ext xmlns:x14="http://schemas.microsoft.com/office/spreadsheetml/2009/9/main" uri="{63CAB8AC-B538-458d-9737-405883B0398D}">
          <x14:cacheField ignore="1"/>
        </ext>
      </extLst>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29976852" createdVersion="5" refreshedVersion="8" minRefreshableVersion="3" recordCount="0" supportSubquery="1" supportAdvancedDrill="1" xr:uid="{898E0B72-829C-49EA-82E5-B0287C3E3792}">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30439814" createdVersion="5" refreshedVersion="8" minRefreshableVersion="3" recordCount="0" supportSubquery="1" supportAdvancedDrill="1" xr:uid="{07900CC4-077E-4D4D-AAB9-AFA4A1C89B57}">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30902775" createdVersion="5" refreshedVersion="8" minRefreshableVersion="3" recordCount="0" supportSubquery="1" supportAdvancedDrill="1" xr:uid="{2CAFE75A-8645-4892-A8BA-49D067790DE9}">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31365737" createdVersion="5" refreshedVersion="8" minRefreshableVersion="3" recordCount="0" supportSubquery="1" supportAdvancedDrill="1" xr:uid="{94E6D15C-A7FB-404D-8363-EEA4D9827370}">
  <cacheSource type="external" connectionId="3"/>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85.830931712961" createdVersion="5" refreshedVersion="8" minRefreshableVersion="3" recordCount="0" supportSubquery="1" supportAdvancedDrill="1" xr:uid="{52DE7AD0-465A-4671-8B33-EE57CBD74A7C}">
  <cacheSource type="external" connectionId="3"/>
  <cacheFields count="4">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1" level="32767"/>
  </cacheFields>
  <cacheHierarchies count="32">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isit" refreshedDate="46227.98877650463" createdVersion="3" refreshedVersion="8" minRefreshableVersion="3" recordCount="0" supportSubquery="1" supportAdvancedDrill="1" xr:uid="{45BEDD86-1C84-40CC-9755-F3AD53F5EE76}">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89836788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3A1942-8038-4BCE-BE4D-8F396A25D887}" name="PivotTable5" cacheId="195"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51">
  <location ref="E7:F38"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3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B9113F-8D63-4DEB-914C-DE39E96216A0}" name="PivotTable12" cacheId="228"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43">
  <location ref="E53:F62" firstHeaderRow="1" firstDataRow="1" firstDataCol="1"/>
  <pivotFields count="4">
    <pivotField allDrilled="1" subtotalTop="0" showAll="0" dataSourceSort="1" defaultSubtotal="0" defaultAttributeDrillState="1"/>
    <pivotField allDrilled="1" subtotalTop="0" showAll="0" dataSourceSort="1" defaultSubtotal="0" defaultAttributeDrillState="1">
      <items count="1">
        <item s="1" x="0"/>
      </items>
    </pivotField>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2"/>
  </rowFields>
  <rowItems count="9">
    <i>
      <x v="7"/>
    </i>
    <i>
      <x v="1"/>
    </i>
    <i>
      <x v="3"/>
    </i>
    <i>
      <x/>
    </i>
    <i>
      <x v="6"/>
    </i>
    <i>
      <x v="5"/>
    </i>
    <i>
      <x v="2"/>
    </i>
    <i>
      <x v="4"/>
    </i>
    <i t="grand">
      <x/>
    </i>
  </rowItems>
  <colItems count="1">
    <i/>
  </colItems>
  <dataFields count="1">
    <dataField name="Count of Department Referral" fld="3" subtotal="count" baseField="0" baseItem="0"/>
  </dataFields>
  <chartFormats count="2">
    <chartFormat chart="40" format="1"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B59331-6BEA-45DE-8DEE-DB7B06F5982A}" name="PivotTable11" cacheId="225"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33">
  <location ref="A53:A55"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F385F3-5ABB-46AF-B2FD-73AE3144E6BB}" name="PivotTable6" cacheId="219"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33">
  <location ref="N42:O45"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3">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 count="1" selected="0">
            <x v="0"/>
          </reference>
        </references>
      </pivotArea>
    </chartFormat>
    <chartFormat chart="11"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D22F88-018B-4B5E-A11D-991EFF95EBF9}" name="PivotTable10" cacheId="213"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6">
  <location ref="A41:C4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series="1">
      <pivotArea type="data" outline="0" fieldPosition="0">
        <references count="1">
          <reference field="4294967294" count="1" selected="0">
            <x v="1"/>
          </reference>
        </references>
      </pivotArea>
    </chartFormat>
  </chartFormats>
  <pivotHierarchies count="33">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477918-0D7E-4B2E-8B50-E83E8DB5A4D5}" name="PivotTable2" cacheId="198"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EB5D0C-B7FA-4CBE-8441-C6765E3083CE}" name="PivotTable3" cacheId="201" applyNumberFormats="0" applyBorderFormats="0" applyFontFormats="0" applyPatternFormats="0" applyAlignmentFormats="0" applyWidthHeightFormats="1" dataCaption="Values" tag="c5f95512-dbeb-4277-b566-7acee389a330" updatedVersion="8"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4">
      <pivotArea outline="0" collapsedLevelsAreSubtotals="1" fieldPosition="0"/>
    </format>
  </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764243-FF1D-493C-92BF-84DD3BF6AA9A}" name="PivotTable8" cacheId="210"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59">
  <location ref="N7:O35"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2">
    <format dxfId="20">
      <pivotArea collapsedLevelsAreSubtotals="1" fieldPosition="0">
        <references count="1">
          <reference field="0" count="0"/>
        </references>
      </pivotArea>
    </format>
    <format dxfId="21">
      <pivotArea grandRow="1" outline="0" collapsedLevelsAreSubtotals="1" fieldPosition="0"/>
    </format>
  </formats>
  <chartFormats count="2">
    <chartFormat chart="51" format="2" series="1">
      <pivotArea type="data" outline="0" fieldPosition="0">
        <references count="1">
          <reference field="4294967294" count="1" selected="0">
            <x v="0"/>
          </reference>
        </references>
      </pivotArea>
    </chartFormat>
    <chartFormat chart="52"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155882A-5E1E-48CA-BDF1-5C43C5DFDBC1}" name="PivotTable4" cacheId="204" applyNumberFormats="0" applyBorderFormats="0" applyFontFormats="0" applyPatternFormats="0" applyAlignmentFormats="0" applyWidthHeightFormats="1" dataCaption="Values" tag="b275e137-9330-4cb7-81ee-0206ebbccd66"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3">
      <pivotArea outline="0" collapsedLevelsAreSubtotals="1" fieldPosition="0"/>
    </format>
  </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DC5E63-81E0-4B9C-B603-F23FBBFF31F5}" name="PivotTable1" cacheId="216"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9">
  <location ref="I42:J5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8829221-CB7C-4E28-AF66-2BE30E3C74B2}" name="PivotTable7" cacheId="207"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64">
  <location ref="J7:K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numFmtId="2"/>
  </dataFields>
  <formats count="1">
    <format dxfId="22">
      <pivotArea outline="0" collapsedLevelsAreSubtotals="1" fieldPosition="0"/>
    </format>
  </formats>
  <chartFormats count="6">
    <chartFormat chart="49" format="0"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2" format="3" series="1">
      <pivotArea type="data" outline="0" fieldPosition="0">
        <references count="1">
          <reference field="4294967294" count="1" selected="0">
            <x v="0"/>
          </reference>
        </references>
      </pivotArea>
    </chartFormat>
    <chartFormat chart="54" format="4" series="1">
      <pivotArea type="data" outline="0" fieldPosition="0">
        <references count="1">
          <reference field="4294967294" count="1" selected="0">
            <x v="0"/>
          </reference>
        </references>
      </pivotArea>
    </chartFormat>
    <chartFormat chart="58" format="5" series="1">
      <pivotArea type="data" outline="0" fieldPosition="0">
        <references count="1">
          <reference field="4294967294" count="1" selected="0">
            <x v="0"/>
          </reference>
        </references>
      </pivotArea>
    </chartFormat>
    <chartFormat chart="59" format="6" series="1">
      <pivotArea type="data" outline="0" fieldPosition="0">
        <references count="1">
          <reference field="4294967294" count="1" selected="0">
            <x v="0"/>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35DED52-4EF4-40B4-B002-AD6CFF734809}" name="PivotTable9" cacheId="222" applyNumberFormats="0" applyBorderFormats="0" applyFontFormats="0" applyPatternFormats="0" applyAlignmentFormats="0" applyWidthHeightFormats="1" dataCaption="Values" tag="332cc008-9722-40c6-a87e-a4916a7833e5" updatedVersion="8" minRefreshableVersion="3" subtotalHiddenItems="1" itemPrintTitles="1" createdVersion="5" indent="0" outline="1" outlineData="1" multipleFieldFilters="0" chartFormat="42">
  <location ref="N49:O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chartFormats count="4">
    <chartFormat chart="26" format="0"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8" format="5">
      <pivotArea type="data" outline="0" fieldPosition="0">
        <references count="2">
          <reference field="4294967294" count="1" selected="0">
            <x v="0"/>
          </reference>
          <reference field="1" count="1" selected="0">
            <x v="0"/>
          </reference>
        </references>
      </pivotArea>
    </chartFormat>
    <chartFormat chart="28" format="6">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multipleItemSelectionAllowed="1" dragToData="1">
      <members count="1" level="1">
        <member name="[Calendar_Table].[Date (Month)].&amp;[Apr]"/>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AA909CF2-B1C6-4E50-8EB9-7D6A58F6143A}" sourceName="[Calendar_Table].[Date (Month)]">
  <pivotTables>
    <pivotTable tabId="1" name="PivotTable5"/>
    <pivotTable tabId="1" name="PivotTable2"/>
    <pivotTable tabId="1" name="PivotTable3"/>
    <pivotTable tabId="1" name="PivotTable4"/>
    <pivotTable tabId="1" name="PivotTable7"/>
    <pivotTable tabId="1" name="PivotTable8"/>
    <pivotTable tabId="1" name="PivotTable10"/>
    <pivotTable tabId="1" name="PivotTable1"/>
    <pivotTable tabId="1" name="PivotTable6"/>
    <pivotTable tabId="1" name="PivotTable9"/>
    <pivotTable tabId="1" name="PivotTable11"/>
    <pivotTable tabId="1" name="PivotTable12"/>
  </pivotTables>
  <data>
    <olap pivotCacheId="189836788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9B8E9EBE-7A3D-4A8E-B154-509DEED5B3EC}" sourceName="[Calendar_Table].[Date (Year)]">
  <pivotTables>
    <pivotTable tabId="1" name="PivotTable11"/>
    <pivotTable tabId="1" name="PivotTable1"/>
    <pivotTable tabId="1" name="PivotTable10"/>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2"/>
  </pivotTables>
  <data>
    <olap pivotCacheId="189836788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90398374-AE6D-4320-B7C8-8BD0F96C7321}" cache="Slicer_Date__Month" caption="Date (Month)" columnCount="12" showCaption="0" level="1" style="My Color" rowHeight="180000"/>
  <slicer name="Date (Year)" xr10:uid="{03014BBB-958D-4A45-8077-325525EA8062}" cache="Slicer_Date__Year" caption="Date (Year)" columnCount="2" showCaption="0" level="1" style="My Color"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375A-7DA6-4031-86B6-1891B15E59FB}">
  <dimension ref="A3:O62"/>
  <sheetViews>
    <sheetView topLeftCell="A38" workbookViewId="0"/>
  </sheetViews>
  <sheetFormatPr defaultRowHeight="14.4" x14ac:dyDescent="0.3"/>
  <cols>
    <col min="1" max="1" width="14.77734375" customWidth="1"/>
    <col min="4" max="4" width="17.5546875" customWidth="1"/>
    <col min="5" max="5" width="12.5546875" bestFit="1" customWidth="1"/>
  </cols>
  <sheetData>
    <row r="3" spans="1:15" x14ac:dyDescent="0.3">
      <c r="A3" t="s">
        <v>1</v>
      </c>
    </row>
    <row r="4" spans="1:15" x14ac:dyDescent="0.3">
      <c r="A4" t="s">
        <v>0</v>
      </c>
    </row>
    <row r="5" spans="1:15" x14ac:dyDescent="0.3">
      <c r="A5" s="10">
        <v>469</v>
      </c>
      <c r="F5">
        <f>A5</f>
        <v>469</v>
      </c>
    </row>
    <row r="6" spans="1:15" x14ac:dyDescent="0.3">
      <c r="E6" t="s">
        <v>8</v>
      </c>
      <c r="J6" t="s">
        <v>6</v>
      </c>
      <c r="N6" t="s">
        <v>7</v>
      </c>
    </row>
    <row r="7" spans="1:15" x14ac:dyDescent="0.3">
      <c r="E7" s="3" t="s">
        <v>4</v>
      </c>
      <c r="F7" t="s">
        <v>0</v>
      </c>
      <c r="J7" s="3" t="s">
        <v>4</v>
      </c>
      <c r="K7" t="s">
        <v>2</v>
      </c>
      <c r="N7" s="3" t="s">
        <v>4</v>
      </c>
      <c r="O7" t="s">
        <v>3</v>
      </c>
    </row>
    <row r="8" spans="1:15" x14ac:dyDescent="0.3">
      <c r="E8" s="4" t="s">
        <v>42</v>
      </c>
      <c r="F8" s="10">
        <v>12</v>
      </c>
      <c r="J8" s="4" t="s">
        <v>42</v>
      </c>
      <c r="K8" s="1">
        <v>31.833333333333332</v>
      </c>
      <c r="N8" s="4" t="s">
        <v>43</v>
      </c>
      <c r="O8" s="1">
        <v>4.5999999999999996</v>
      </c>
    </row>
    <row r="9" spans="1:15" x14ac:dyDescent="0.3">
      <c r="A9" t="s">
        <v>2</v>
      </c>
      <c r="E9" s="4" t="s">
        <v>43</v>
      </c>
      <c r="F9" s="10">
        <v>19</v>
      </c>
      <c r="J9" s="4" t="s">
        <v>43</v>
      </c>
      <c r="K9" s="1">
        <v>39.368421052631582</v>
      </c>
      <c r="N9" s="4" t="s">
        <v>44</v>
      </c>
      <c r="O9" s="1">
        <v>4.5999999999999996</v>
      </c>
    </row>
    <row r="10" spans="1:15" x14ac:dyDescent="0.3">
      <c r="A10" s="1">
        <v>35.044776119402982</v>
      </c>
      <c r="E10" s="4" t="s">
        <v>44</v>
      </c>
      <c r="F10" s="10">
        <v>17</v>
      </c>
      <c r="J10" s="4" t="s">
        <v>44</v>
      </c>
      <c r="K10" s="1">
        <v>32.352941176470587</v>
      </c>
      <c r="N10" s="4" t="s">
        <v>45</v>
      </c>
      <c r="O10" s="1">
        <v>5.666666666666667</v>
      </c>
    </row>
    <row r="11" spans="1:15" x14ac:dyDescent="0.3">
      <c r="E11" s="4" t="s">
        <v>45</v>
      </c>
      <c r="F11" s="10">
        <v>20</v>
      </c>
      <c r="J11" s="4" t="s">
        <v>45</v>
      </c>
      <c r="K11" s="1">
        <v>34.049999999999997</v>
      </c>
      <c r="N11" s="4" t="s">
        <v>46</v>
      </c>
      <c r="O11" s="1">
        <v>3.4</v>
      </c>
    </row>
    <row r="12" spans="1:15" x14ac:dyDescent="0.3">
      <c r="E12" s="4" t="s">
        <v>46</v>
      </c>
      <c r="F12" s="10">
        <v>15</v>
      </c>
      <c r="J12" s="4" t="s">
        <v>46</v>
      </c>
      <c r="K12" s="1">
        <v>31.8</v>
      </c>
      <c r="N12" s="4" t="s">
        <v>47</v>
      </c>
      <c r="O12" s="1">
        <v>4.333333333333333</v>
      </c>
    </row>
    <row r="13" spans="1:15" x14ac:dyDescent="0.3">
      <c r="E13" s="4" t="s">
        <v>47</v>
      </c>
      <c r="F13" s="10">
        <v>17</v>
      </c>
      <c r="J13" s="4" t="s">
        <v>47</v>
      </c>
      <c r="K13" s="1">
        <v>37.823529411764703</v>
      </c>
      <c r="N13" s="4" t="s">
        <v>48</v>
      </c>
      <c r="O13" s="1">
        <v>4.4000000000000004</v>
      </c>
    </row>
    <row r="14" spans="1:15" x14ac:dyDescent="0.3">
      <c r="A14" t="s">
        <v>3</v>
      </c>
      <c r="E14" s="4" t="s">
        <v>48</v>
      </c>
      <c r="F14" s="10">
        <v>16</v>
      </c>
      <c r="J14" s="4" t="s">
        <v>48</v>
      </c>
      <c r="K14" s="1">
        <v>31.875</v>
      </c>
      <c r="N14" s="4" t="s">
        <v>49</v>
      </c>
      <c r="O14" s="1">
        <v>4.25</v>
      </c>
    </row>
    <row r="15" spans="1:15" x14ac:dyDescent="0.3">
      <c r="A15" s="1">
        <v>4.6269841269841274</v>
      </c>
      <c r="E15" s="4" t="s">
        <v>49</v>
      </c>
      <c r="F15" s="10">
        <v>10</v>
      </c>
      <c r="J15" s="4" t="s">
        <v>49</v>
      </c>
      <c r="K15" s="1">
        <v>27.3</v>
      </c>
      <c r="N15" s="4" t="s">
        <v>50</v>
      </c>
      <c r="O15" s="1">
        <v>4.5999999999999996</v>
      </c>
    </row>
    <row r="16" spans="1:15" x14ac:dyDescent="0.3">
      <c r="E16" s="4" t="s">
        <v>50</v>
      </c>
      <c r="F16" s="10">
        <v>15</v>
      </c>
      <c r="J16" s="4" t="s">
        <v>50</v>
      </c>
      <c r="K16" s="1">
        <v>31.933333333333334</v>
      </c>
      <c r="N16" s="4" t="s">
        <v>52</v>
      </c>
      <c r="O16" s="1">
        <v>2.3333333333333335</v>
      </c>
    </row>
    <row r="17" spans="5:15" x14ac:dyDescent="0.3">
      <c r="E17" s="4" t="s">
        <v>51</v>
      </c>
      <c r="F17" s="10">
        <v>14</v>
      </c>
      <c r="J17" s="4" t="s">
        <v>51</v>
      </c>
      <c r="K17" s="1">
        <v>30.5</v>
      </c>
      <c r="N17" s="4" t="s">
        <v>53</v>
      </c>
      <c r="O17" s="1">
        <v>9</v>
      </c>
    </row>
    <row r="18" spans="5:15" x14ac:dyDescent="0.3">
      <c r="E18" s="4" t="s">
        <v>52</v>
      </c>
      <c r="F18" s="10">
        <v>16</v>
      </c>
      <c r="J18" s="4" t="s">
        <v>52</v>
      </c>
      <c r="K18" s="1">
        <v>38.0625</v>
      </c>
      <c r="N18" s="4" t="s">
        <v>54</v>
      </c>
      <c r="O18" s="1">
        <v>2.75</v>
      </c>
    </row>
    <row r="19" spans="5:15" x14ac:dyDescent="0.3">
      <c r="E19" s="4" t="s">
        <v>53</v>
      </c>
      <c r="F19" s="10">
        <v>12</v>
      </c>
      <c r="J19" s="4" t="s">
        <v>53</v>
      </c>
      <c r="K19" s="1">
        <v>36.333333333333336</v>
      </c>
      <c r="N19" s="4" t="s">
        <v>55</v>
      </c>
      <c r="O19" s="1">
        <v>6.8888888888888893</v>
      </c>
    </row>
    <row r="20" spans="5:15" x14ac:dyDescent="0.3">
      <c r="E20" s="4" t="s">
        <v>54</v>
      </c>
      <c r="F20" s="10">
        <v>12</v>
      </c>
      <c r="J20" s="4" t="s">
        <v>54</v>
      </c>
      <c r="K20" s="1">
        <v>27</v>
      </c>
      <c r="N20" s="4" t="s">
        <v>56</v>
      </c>
      <c r="O20" s="1">
        <v>5</v>
      </c>
    </row>
    <row r="21" spans="5:15" x14ac:dyDescent="0.3">
      <c r="E21" s="4" t="s">
        <v>55</v>
      </c>
      <c r="F21" s="10">
        <v>13</v>
      </c>
      <c r="J21" s="4" t="s">
        <v>55</v>
      </c>
      <c r="K21" s="1">
        <v>37.46153846153846</v>
      </c>
      <c r="N21" s="4" t="s">
        <v>57</v>
      </c>
      <c r="O21" s="1">
        <v>4.166666666666667</v>
      </c>
    </row>
    <row r="22" spans="5:15" x14ac:dyDescent="0.3">
      <c r="E22" s="4" t="s">
        <v>56</v>
      </c>
      <c r="F22" s="10">
        <v>20</v>
      </c>
      <c r="J22" s="4" t="s">
        <v>56</v>
      </c>
      <c r="K22" s="1">
        <v>39.25</v>
      </c>
      <c r="N22" s="4" t="s">
        <v>58</v>
      </c>
      <c r="O22" s="1">
        <v>2.5</v>
      </c>
    </row>
    <row r="23" spans="5:15" x14ac:dyDescent="0.3">
      <c r="E23" s="4" t="s">
        <v>57</v>
      </c>
      <c r="F23" s="10">
        <v>17</v>
      </c>
      <c r="J23" s="4" t="s">
        <v>57</v>
      </c>
      <c r="K23" s="1">
        <v>33.647058823529413</v>
      </c>
      <c r="N23" s="4" t="s">
        <v>59</v>
      </c>
      <c r="O23" s="1">
        <v>6</v>
      </c>
    </row>
    <row r="24" spans="5:15" x14ac:dyDescent="0.3">
      <c r="E24" s="4" t="s">
        <v>58</v>
      </c>
      <c r="F24" s="10">
        <v>10</v>
      </c>
      <c r="J24" s="4" t="s">
        <v>58</v>
      </c>
      <c r="K24" s="1">
        <v>42.2</v>
      </c>
      <c r="N24" s="4" t="s">
        <v>60</v>
      </c>
      <c r="O24" s="1">
        <v>3.8</v>
      </c>
    </row>
    <row r="25" spans="5:15" x14ac:dyDescent="0.3">
      <c r="E25" s="4" t="s">
        <v>59</v>
      </c>
      <c r="F25" s="10">
        <v>16</v>
      </c>
      <c r="J25" s="4" t="s">
        <v>59</v>
      </c>
      <c r="K25" s="1">
        <v>33.3125</v>
      </c>
      <c r="N25" s="4" t="s">
        <v>61</v>
      </c>
      <c r="O25" s="1">
        <v>3.6</v>
      </c>
    </row>
    <row r="26" spans="5:15" x14ac:dyDescent="0.3">
      <c r="E26" s="4" t="s">
        <v>60</v>
      </c>
      <c r="F26" s="10">
        <v>13</v>
      </c>
      <c r="J26" s="4" t="s">
        <v>60</v>
      </c>
      <c r="K26" s="1">
        <v>25.76923076923077</v>
      </c>
      <c r="N26" s="4" t="s">
        <v>63</v>
      </c>
      <c r="O26" s="1">
        <v>5.8571428571428568</v>
      </c>
    </row>
    <row r="27" spans="5:15" x14ac:dyDescent="0.3">
      <c r="E27" s="4" t="s">
        <v>61</v>
      </c>
      <c r="F27" s="10">
        <v>16</v>
      </c>
      <c r="J27" s="4" t="s">
        <v>61</v>
      </c>
      <c r="K27" s="1">
        <v>37.125</v>
      </c>
      <c r="N27" s="4" t="s">
        <v>64</v>
      </c>
      <c r="O27" s="1">
        <v>6.25</v>
      </c>
    </row>
    <row r="28" spans="5:15" x14ac:dyDescent="0.3">
      <c r="E28" s="4" t="s">
        <v>62</v>
      </c>
      <c r="F28" s="10">
        <v>18</v>
      </c>
      <c r="J28" s="4" t="s">
        <v>62</v>
      </c>
      <c r="K28" s="1">
        <v>37</v>
      </c>
      <c r="N28" s="4" t="s">
        <v>65</v>
      </c>
      <c r="O28" s="1">
        <v>4.666666666666667</v>
      </c>
    </row>
    <row r="29" spans="5:15" x14ac:dyDescent="0.3">
      <c r="E29" s="4" t="s">
        <v>63</v>
      </c>
      <c r="F29" s="10">
        <v>21</v>
      </c>
      <c r="J29" s="4" t="s">
        <v>63</v>
      </c>
      <c r="K29" s="1">
        <v>36.80952380952381</v>
      </c>
      <c r="N29" s="4" t="s">
        <v>66</v>
      </c>
      <c r="O29" s="1">
        <v>0</v>
      </c>
    </row>
    <row r="30" spans="5:15" x14ac:dyDescent="0.3">
      <c r="E30" s="4" t="s">
        <v>64</v>
      </c>
      <c r="F30" s="10">
        <v>15</v>
      </c>
      <c r="J30" s="4" t="s">
        <v>64</v>
      </c>
      <c r="K30" s="1">
        <v>39.799999999999997</v>
      </c>
      <c r="N30" s="4" t="s">
        <v>67</v>
      </c>
      <c r="O30" s="1">
        <v>4.666666666666667</v>
      </c>
    </row>
    <row r="31" spans="5:15" x14ac:dyDescent="0.3">
      <c r="E31" s="4" t="s">
        <v>65</v>
      </c>
      <c r="F31" s="10">
        <v>18</v>
      </c>
      <c r="J31" s="4" t="s">
        <v>65</v>
      </c>
      <c r="K31" s="1">
        <v>38</v>
      </c>
      <c r="N31" s="4" t="s">
        <v>68</v>
      </c>
      <c r="O31" s="1">
        <v>2.8</v>
      </c>
    </row>
    <row r="32" spans="5:15" x14ac:dyDescent="0.3">
      <c r="E32" s="4" t="s">
        <v>66</v>
      </c>
      <c r="F32" s="10">
        <v>15</v>
      </c>
      <c r="J32" s="4" t="s">
        <v>66</v>
      </c>
      <c r="K32" s="1">
        <v>36.133333333333333</v>
      </c>
      <c r="N32" s="4" t="s">
        <v>69</v>
      </c>
      <c r="O32" s="1">
        <v>4.2</v>
      </c>
    </row>
    <row r="33" spans="1:15" x14ac:dyDescent="0.3">
      <c r="E33" s="4" t="s">
        <v>67</v>
      </c>
      <c r="F33" s="10">
        <v>18</v>
      </c>
      <c r="J33" s="4" t="s">
        <v>67</v>
      </c>
      <c r="K33" s="1">
        <v>36.555555555555557</v>
      </c>
      <c r="N33" s="4" t="s">
        <v>70</v>
      </c>
      <c r="O33" s="1">
        <v>2.5</v>
      </c>
    </row>
    <row r="34" spans="1:15" x14ac:dyDescent="0.3">
      <c r="E34" s="4" t="s">
        <v>68</v>
      </c>
      <c r="F34" s="10">
        <v>19</v>
      </c>
      <c r="J34" s="4" t="s">
        <v>68</v>
      </c>
      <c r="K34" s="1">
        <v>39.210526315789473</v>
      </c>
      <c r="N34" s="4" t="s">
        <v>71</v>
      </c>
      <c r="O34" s="1">
        <v>5</v>
      </c>
    </row>
    <row r="35" spans="1:15" x14ac:dyDescent="0.3">
      <c r="E35" s="4" t="s">
        <v>69</v>
      </c>
      <c r="F35" s="10">
        <v>16</v>
      </c>
      <c r="J35" s="4" t="s">
        <v>69</v>
      </c>
      <c r="K35" s="1">
        <v>31.1875</v>
      </c>
      <c r="N35" s="4" t="s">
        <v>5</v>
      </c>
      <c r="O35" s="1">
        <v>4.6269841269841274</v>
      </c>
    </row>
    <row r="36" spans="1:15" x14ac:dyDescent="0.3">
      <c r="E36" s="4" t="s">
        <v>70</v>
      </c>
      <c r="F36" s="10">
        <v>13</v>
      </c>
      <c r="J36" s="4" t="s">
        <v>70</v>
      </c>
      <c r="K36" s="1">
        <v>35.153846153846153</v>
      </c>
    </row>
    <row r="37" spans="1:15" x14ac:dyDescent="0.3">
      <c r="E37" s="4" t="s">
        <v>71</v>
      </c>
      <c r="F37" s="10">
        <v>16</v>
      </c>
      <c r="J37" s="4" t="s">
        <v>71</v>
      </c>
      <c r="K37" s="1">
        <v>34.25</v>
      </c>
    </row>
    <row r="38" spans="1:15" x14ac:dyDescent="0.3">
      <c r="E38" s="4" t="s">
        <v>5</v>
      </c>
      <c r="F38" s="10">
        <v>469</v>
      </c>
      <c r="J38" s="4" t="s">
        <v>5</v>
      </c>
      <c r="K38" s="1">
        <v>35.044776119402982</v>
      </c>
    </row>
    <row r="41" spans="1:15" x14ac:dyDescent="0.3">
      <c r="A41" s="3" t="s">
        <v>4</v>
      </c>
      <c r="B41" t="s">
        <v>11</v>
      </c>
      <c r="C41" t="s">
        <v>12</v>
      </c>
      <c r="I41" t="s">
        <v>29</v>
      </c>
    </row>
    <row r="42" spans="1:15" x14ac:dyDescent="0.3">
      <c r="A42" s="4" t="s">
        <v>9</v>
      </c>
      <c r="B42" s="10">
        <v>217</v>
      </c>
      <c r="C42" s="7">
        <v>0.46268656716417911</v>
      </c>
      <c r="I42" s="3" t="s">
        <v>4</v>
      </c>
      <c r="J42" t="s">
        <v>25</v>
      </c>
      <c r="N42" s="3" t="s">
        <v>4</v>
      </c>
      <c r="O42" t="s">
        <v>28</v>
      </c>
    </row>
    <row r="43" spans="1:15" x14ac:dyDescent="0.3">
      <c r="A43" s="4" t="s">
        <v>10</v>
      </c>
      <c r="B43" s="10">
        <v>252</v>
      </c>
      <c r="C43" s="7">
        <v>0.53731343283582089</v>
      </c>
      <c r="I43" s="4" t="s">
        <v>17</v>
      </c>
      <c r="J43" s="10">
        <v>59</v>
      </c>
      <c r="N43" s="4" t="s">
        <v>26</v>
      </c>
      <c r="O43" s="10">
        <v>268</v>
      </c>
    </row>
    <row r="44" spans="1:15" x14ac:dyDescent="0.3">
      <c r="A44" s="4" t="s">
        <v>5</v>
      </c>
      <c r="B44" s="10">
        <v>469</v>
      </c>
      <c r="C44" s="7">
        <v>1</v>
      </c>
      <c r="I44" s="4" t="s">
        <v>18</v>
      </c>
      <c r="J44" s="10">
        <v>57</v>
      </c>
      <c r="N44" s="4" t="s">
        <v>27</v>
      </c>
      <c r="O44" s="10">
        <v>201</v>
      </c>
    </row>
    <row r="45" spans="1:15" x14ac:dyDescent="0.3">
      <c r="I45" s="4" t="s">
        <v>19</v>
      </c>
      <c r="J45" s="10">
        <v>69</v>
      </c>
      <c r="N45" s="4" t="s">
        <v>5</v>
      </c>
      <c r="O45" s="10">
        <v>469</v>
      </c>
    </row>
    <row r="46" spans="1:15" x14ac:dyDescent="0.3">
      <c r="I46" s="4" t="s">
        <v>20</v>
      </c>
      <c r="J46" s="10">
        <v>62</v>
      </c>
    </row>
    <row r="47" spans="1:15" x14ac:dyDescent="0.3">
      <c r="A47" s="8" t="s">
        <v>13</v>
      </c>
      <c r="B47" s="8" t="s">
        <v>14</v>
      </c>
      <c r="C47" s="8" t="s">
        <v>16</v>
      </c>
      <c r="D47" s="8" t="s">
        <v>15</v>
      </c>
      <c r="I47" s="4" t="s">
        <v>21</v>
      </c>
      <c r="J47" s="10">
        <v>54</v>
      </c>
    </row>
    <row r="48" spans="1:15" x14ac:dyDescent="0.3">
      <c r="A48" s="8" t="str">
        <f>A43</f>
        <v>Not Admitted</v>
      </c>
      <c r="B48" s="8">
        <f>B43</f>
        <v>252</v>
      </c>
      <c r="C48" s="9">
        <f>C43</f>
        <v>0.53731343283582089</v>
      </c>
      <c r="D48" s="8"/>
      <c r="I48" s="4" t="s">
        <v>22</v>
      </c>
      <c r="J48" s="10">
        <v>57</v>
      </c>
    </row>
    <row r="49" spans="1:15" x14ac:dyDescent="0.3">
      <c r="A49" s="8" t="str">
        <f>A42</f>
        <v>Admitted</v>
      </c>
      <c r="B49" s="8">
        <f>B42</f>
        <v>217</v>
      </c>
      <c r="C49" s="9">
        <f>C42</f>
        <v>0.46268656716417911</v>
      </c>
      <c r="D49" s="8"/>
      <c r="I49" s="4" t="s">
        <v>23</v>
      </c>
      <c r="J49" s="10">
        <v>54</v>
      </c>
      <c r="N49" s="3" t="s">
        <v>4</v>
      </c>
      <c r="O49" t="s">
        <v>28</v>
      </c>
    </row>
    <row r="50" spans="1:15" x14ac:dyDescent="0.3">
      <c r="I50" s="4" t="s">
        <v>24</v>
      </c>
      <c r="J50" s="10">
        <v>57</v>
      </c>
      <c r="N50" s="4" t="s">
        <v>30</v>
      </c>
      <c r="O50" s="10">
        <v>241</v>
      </c>
    </row>
    <row r="51" spans="1:15" x14ac:dyDescent="0.3">
      <c r="I51" s="4" t="s">
        <v>5</v>
      </c>
      <c r="J51" s="10">
        <v>469</v>
      </c>
      <c r="N51" s="4" t="s">
        <v>31</v>
      </c>
      <c r="O51" s="10">
        <v>228</v>
      </c>
    </row>
    <row r="52" spans="1:15" x14ac:dyDescent="0.3">
      <c r="N52" s="4" t="s">
        <v>5</v>
      </c>
      <c r="O52" s="10">
        <v>469</v>
      </c>
    </row>
    <row r="53" spans="1:15" x14ac:dyDescent="0.3">
      <c r="A53" s="3" t="s">
        <v>4</v>
      </c>
      <c r="E53" s="3" t="s">
        <v>4</v>
      </c>
      <c r="F53" t="s">
        <v>41</v>
      </c>
    </row>
    <row r="54" spans="1:15" x14ac:dyDescent="0.3">
      <c r="A54" s="4" t="s">
        <v>32</v>
      </c>
      <c r="E54" s="4" t="s">
        <v>40</v>
      </c>
      <c r="F54" s="10">
        <v>3</v>
      </c>
    </row>
    <row r="55" spans="1:15" x14ac:dyDescent="0.3">
      <c r="A55" s="4" t="s">
        <v>5</v>
      </c>
      <c r="E55" s="4" t="s">
        <v>34</v>
      </c>
      <c r="F55" s="10">
        <v>8</v>
      </c>
    </row>
    <row r="56" spans="1:15" x14ac:dyDescent="0.3">
      <c r="E56" s="4" t="s">
        <v>36</v>
      </c>
      <c r="F56" s="10">
        <v>10</v>
      </c>
    </row>
    <row r="57" spans="1:15" x14ac:dyDescent="0.3">
      <c r="E57" s="4" t="s">
        <v>33</v>
      </c>
      <c r="F57" s="10">
        <v>13</v>
      </c>
    </row>
    <row r="58" spans="1:15" x14ac:dyDescent="0.3">
      <c r="E58" s="4" t="s">
        <v>39</v>
      </c>
      <c r="F58" s="10">
        <v>15</v>
      </c>
    </row>
    <row r="59" spans="1:15" x14ac:dyDescent="0.3">
      <c r="E59" s="4" t="s">
        <v>38</v>
      </c>
      <c r="F59" s="10">
        <v>44</v>
      </c>
    </row>
    <row r="60" spans="1:15" x14ac:dyDescent="0.3">
      <c r="E60" s="4" t="s">
        <v>35</v>
      </c>
      <c r="F60" s="10">
        <v>92</v>
      </c>
    </row>
    <row r="61" spans="1:15" x14ac:dyDescent="0.3">
      <c r="E61" s="4" t="s">
        <v>37</v>
      </c>
      <c r="F61" s="10">
        <v>284</v>
      </c>
    </row>
    <row r="62" spans="1:15" x14ac:dyDescent="0.3">
      <c r="E62" s="4" t="s">
        <v>5</v>
      </c>
      <c r="F62" s="10">
        <v>469</v>
      </c>
    </row>
  </sheetData>
  <sortState xmlns:xlrd2="http://schemas.microsoft.com/office/spreadsheetml/2017/richdata2" ref="B48:C49">
    <sortCondition ref="B48:B49"/>
  </sortState>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D4D8D-777B-460D-9F07-FD98E7DC05CD}">
  <dimension ref="A1:X31"/>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6A7FD-707D-48ED-857C-B86B810FDADD}">
  <dimension ref="A1:X29"/>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5"/>
      <c r="F28" s="5"/>
      <c r="G28" s="5"/>
      <c r="H28" s="5"/>
      <c r="I28" s="5"/>
      <c r="J28" s="5"/>
      <c r="K28" s="5"/>
      <c r="L28" s="5"/>
      <c r="M28" s="5"/>
      <c r="N28" s="5"/>
      <c r="O28" s="5"/>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BF783-9EA0-483A-B751-95BCA501E4A1}">
  <dimension ref="A1:X27"/>
  <sheetViews>
    <sheetView workbookViewId="0"/>
  </sheetViews>
  <sheetFormatPr defaultRowHeight="14.4" x14ac:dyDescent="0.3"/>
  <sheetData>
    <row r="1" spans="1:24" x14ac:dyDescent="0.3">
      <c r="A1" s="6"/>
      <c r="B1" s="6"/>
      <c r="C1" s="6"/>
      <c r="D1" s="6"/>
      <c r="E1" s="6"/>
      <c r="F1" s="6"/>
      <c r="G1" s="6"/>
      <c r="H1" s="6"/>
      <c r="I1" s="6"/>
      <c r="J1" s="6"/>
      <c r="K1" s="6"/>
      <c r="L1" s="6"/>
      <c r="M1" s="6"/>
      <c r="N1" s="6"/>
      <c r="O1" s="6"/>
      <c r="P1" s="6"/>
      <c r="Q1" s="6"/>
      <c r="R1" s="6"/>
      <c r="S1" s="6"/>
      <c r="T1" s="6"/>
      <c r="U1" s="6"/>
      <c r="V1" s="6"/>
      <c r="W1" s="6"/>
      <c r="X1" s="6"/>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E2EC8-1590-45AD-B52F-854830FD6F84}">
  <dimension ref="A1:N15"/>
  <sheetViews>
    <sheetView tabSelected="1" zoomScale="162" zoomScaleNormal="162" workbookViewId="0"/>
  </sheetViews>
  <sheetFormatPr defaultRowHeight="14.4" x14ac:dyDescent="0.3"/>
  <cols>
    <col min="4" max="4" width="12.33203125" customWidth="1"/>
  </cols>
  <sheetData>
    <row r="1" spans="1:14" x14ac:dyDescent="0.3">
      <c r="A1" s="2"/>
      <c r="B1" s="2"/>
      <c r="C1" s="2"/>
      <c r="D1" s="2"/>
      <c r="E1" s="2"/>
      <c r="F1" s="2"/>
      <c r="G1" s="2"/>
      <c r="H1" s="2"/>
      <c r="I1" s="2"/>
      <c r="J1" s="2"/>
      <c r="K1" s="2"/>
      <c r="L1" s="2"/>
      <c r="M1" s="2"/>
      <c r="N1" s="2"/>
    </row>
    <row r="2" spans="1:14" x14ac:dyDescent="0.3">
      <c r="A2" s="2"/>
      <c r="B2" s="2"/>
      <c r="C2" s="2"/>
      <c r="D2" s="2"/>
      <c r="E2" s="2"/>
      <c r="F2" s="2"/>
      <c r="G2" s="2"/>
      <c r="H2" s="2"/>
      <c r="I2" s="2"/>
      <c r="J2" s="2"/>
      <c r="K2" s="2"/>
      <c r="L2" s="2"/>
      <c r="M2" s="2"/>
      <c r="N2" s="2"/>
    </row>
    <row r="3" spans="1:14" x14ac:dyDescent="0.3">
      <c r="A3" s="2"/>
      <c r="B3" s="2"/>
      <c r="C3" s="2"/>
      <c r="D3" s="2"/>
      <c r="E3" s="2"/>
      <c r="F3" s="2"/>
      <c r="G3" s="2"/>
      <c r="H3" s="2"/>
      <c r="I3" s="2"/>
      <c r="J3" s="2"/>
      <c r="K3" s="2"/>
      <c r="L3" s="2"/>
      <c r="M3" s="2"/>
      <c r="N3" s="2"/>
    </row>
    <row r="4" spans="1:14" x14ac:dyDescent="0.3">
      <c r="A4" s="2"/>
      <c r="B4" s="2"/>
      <c r="C4" s="2"/>
      <c r="D4" s="2"/>
      <c r="E4" s="2"/>
      <c r="F4" s="2"/>
      <c r="G4" s="2"/>
      <c r="H4" s="2"/>
      <c r="I4" s="2"/>
      <c r="J4" s="2"/>
      <c r="K4" s="2"/>
      <c r="L4" s="2"/>
      <c r="M4" s="2"/>
      <c r="N4" s="2"/>
    </row>
    <row r="5" spans="1:14" x14ac:dyDescent="0.3">
      <c r="A5" s="2"/>
      <c r="B5" s="2"/>
      <c r="C5" s="2"/>
      <c r="D5" s="2"/>
      <c r="E5" s="2"/>
      <c r="F5" s="2"/>
      <c r="G5" s="2"/>
      <c r="H5" s="2"/>
      <c r="I5" s="2"/>
      <c r="J5" s="2"/>
      <c r="K5" s="2"/>
      <c r="L5" s="2"/>
      <c r="M5" s="2"/>
      <c r="N5" s="2"/>
    </row>
    <row r="6" spans="1:14" x14ac:dyDescent="0.3">
      <c r="A6" s="2"/>
      <c r="B6" s="2"/>
      <c r="C6" s="2"/>
      <c r="D6" s="2"/>
      <c r="E6" s="2"/>
      <c r="F6" s="2"/>
      <c r="G6" s="2"/>
      <c r="H6" s="2"/>
      <c r="I6" s="2"/>
      <c r="J6" s="2"/>
      <c r="K6" s="2"/>
      <c r="L6" s="2"/>
      <c r="M6" s="2"/>
      <c r="N6" s="2"/>
    </row>
    <row r="7" spans="1:14" x14ac:dyDescent="0.3">
      <c r="A7" s="2"/>
      <c r="B7" s="2"/>
      <c r="C7" s="2"/>
      <c r="D7" s="2"/>
      <c r="E7" s="2"/>
      <c r="F7" s="2"/>
      <c r="G7" s="2"/>
      <c r="H7" s="2"/>
      <c r="I7" s="2"/>
      <c r="J7" s="2"/>
      <c r="K7" s="2"/>
      <c r="L7" s="2"/>
      <c r="M7" s="2"/>
      <c r="N7" s="2"/>
    </row>
    <row r="8" spans="1:14" x14ac:dyDescent="0.3">
      <c r="A8" s="2"/>
      <c r="B8" s="2"/>
      <c r="C8" s="2"/>
      <c r="D8" s="2"/>
      <c r="E8" s="2"/>
      <c r="F8" s="2"/>
      <c r="G8" s="2"/>
      <c r="H8" s="2"/>
      <c r="I8" s="2"/>
      <c r="J8" s="2"/>
      <c r="K8" s="2"/>
      <c r="L8" s="2"/>
      <c r="M8" s="2"/>
      <c r="N8" s="2"/>
    </row>
    <row r="9" spans="1:14" x14ac:dyDescent="0.3">
      <c r="A9" s="2"/>
      <c r="B9" s="2"/>
      <c r="C9" s="2"/>
      <c r="D9" s="2"/>
      <c r="E9" s="2"/>
      <c r="F9" s="2"/>
      <c r="G9" s="2"/>
      <c r="H9" s="2"/>
      <c r="I9" s="2"/>
      <c r="J9" s="2"/>
      <c r="K9" s="2"/>
      <c r="L9" s="2"/>
      <c r="M9" s="2"/>
      <c r="N9" s="2"/>
    </row>
    <row r="10" spans="1:14" x14ac:dyDescent="0.3">
      <c r="A10" s="2"/>
      <c r="B10" s="2"/>
      <c r="C10" s="2"/>
      <c r="D10" s="2"/>
      <c r="E10" s="2"/>
      <c r="F10" s="2"/>
      <c r="G10" s="2"/>
      <c r="H10" s="2"/>
      <c r="I10" s="2"/>
      <c r="J10" s="2"/>
      <c r="K10" s="2"/>
      <c r="L10" s="2"/>
      <c r="M10" s="2"/>
      <c r="N10" s="2"/>
    </row>
    <row r="11" spans="1:14" x14ac:dyDescent="0.3">
      <c r="A11" s="2"/>
      <c r="B11" s="2"/>
      <c r="C11" s="2"/>
      <c r="D11" s="2"/>
      <c r="E11" s="2"/>
      <c r="F11" s="2"/>
      <c r="G11" s="2"/>
      <c r="H11" s="2"/>
      <c r="I11" s="2"/>
      <c r="J11" s="2"/>
      <c r="K11" s="2"/>
      <c r="L11" s="2"/>
      <c r="M11" s="2"/>
      <c r="N11" s="2"/>
    </row>
    <row r="12" spans="1:14" x14ac:dyDescent="0.3">
      <c r="A12" s="2"/>
      <c r="B12" s="2"/>
      <c r="C12" s="2"/>
      <c r="D12" s="2"/>
      <c r="E12" s="2"/>
      <c r="F12" s="2"/>
      <c r="G12" s="2"/>
      <c r="H12" s="2"/>
      <c r="I12" s="2"/>
      <c r="J12" s="2"/>
      <c r="K12" s="2"/>
      <c r="L12" s="2"/>
      <c r="M12" s="2"/>
      <c r="N12" s="2"/>
    </row>
    <row r="13" spans="1:14" x14ac:dyDescent="0.3">
      <c r="A13" s="2"/>
      <c r="B13" s="2"/>
      <c r="C13" s="2"/>
      <c r="D13" s="2"/>
      <c r="E13" s="2"/>
      <c r="F13" s="2"/>
      <c r="G13" s="2"/>
      <c r="H13" s="2"/>
      <c r="I13" s="2"/>
      <c r="J13" s="2"/>
      <c r="K13" s="2"/>
      <c r="L13" s="2"/>
      <c r="M13" s="2"/>
      <c r="N13" s="2"/>
    </row>
    <row r="14" spans="1:14" x14ac:dyDescent="0.3">
      <c r="A14" s="2"/>
      <c r="B14" s="2"/>
      <c r="C14" s="2"/>
      <c r="D14" s="2"/>
      <c r="E14" s="2"/>
      <c r="F14" s="2"/>
      <c r="G14" s="2"/>
      <c r="H14" s="2"/>
      <c r="I14" s="2"/>
      <c r="J14" s="2"/>
      <c r="K14" s="2"/>
      <c r="L14" s="2"/>
      <c r="M14" s="2"/>
      <c r="N14" s="2"/>
    </row>
    <row r="15" spans="1:14" x14ac:dyDescent="0.3">
      <c r="A15" s="2"/>
      <c r="B15" s="2"/>
      <c r="C15" s="2"/>
      <c r="D15" s="2"/>
      <c r="E15" s="2"/>
      <c r="F15" s="2"/>
      <c r="G15" s="2"/>
      <c r="H15" s="2"/>
      <c r="I15" s="2"/>
      <c r="J15" s="2"/>
      <c r="K15" s="2"/>
      <c r="L15" s="2"/>
      <c r="M15" s="2"/>
      <c r="N15"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3F7C42BC-0585-4B6F-88CC-EA5E45B65D7B}">
  <ds:schemaRefs/>
</ds:datastoreItem>
</file>

<file path=customXml/itemProps2.xml><?xml version="1.0" encoding="utf-8"?>
<ds:datastoreItem xmlns:ds="http://schemas.openxmlformats.org/officeDocument/2006/customXml" ds:itemID="{DD4B8959-6B8D-49DA-A9AD-9B046AC8F4CB}">
  <ds:schemaRefs/>
</ds:datastoreItem>
</file>

<file path=customXml/itemProps3.xml><?xml version="1.0" encoding="utf-8"?>
<ds:datastoreItem xmlns:ds="http://schemas.openxmlformats.org/officeDocument/2006/customXml" ds:itemID="{A59E3761-6A78-437B-A104-B9CA292A7A7F}">
  <ds:schemaRefs/>
</ds:datastoreItem>
</file>

<file path=customXml/itemProps4.xml><?xml version="1.0" encoding="utf-8"?>
<ds:datastoreItem xmlns:ds="http://schemas.openxmlformats.org/officeDocument/2006/customXml" ds:itemID="{B87B4CC2-7FCD-4A60-83F8-5E2984BCEE06}">
  <ds:schemaRefs/>
</ds:datastoreItem>
</file>

<file path=customXml/itemProps5.xml><?xml version="1.0" encoding="utf-8"?>
<ds:datastoreItem xmlns:ds="http://schemas.openxmlformats.org/officeDocument/2006/customXml" ds:itemID="{B486F7C9-6359-4E91-892A-FA41B8BCE423}">
  <ds:schemaRefs/>
</ds:datastoreItem>
</file>

<file path=customXml/itemProps6.xml><?xml version="1.0" encoding="utf-8"?>
<ds:datastoreItem xmlns:ds="http://schemas.openxmlformats.org/officeDocument/2006/customXml" ds:itemID="{F1DEDE1D-2B7E-4387-9F97-416B1591A487}">
  <ds:schemaRefs/>
</ds:datastoreItem>
</file>

<file path=customXml/itemProps7.xml><?xml version="1.0" encoding="utf-8"?>
<ds:datastoreItem xmlns:ds="http://schemas.openxmlformats.org/officeDocument/2006/customXml" ds:itemID="{F6C68B20-9D57-44A1-A55C-97583B13B907}">
  <ds:schemaRefs/>
</ds:datastoreItem>
</file>

<file path=customXml/itemProps8.xml><?xml version="1.0" encoding="utf-8"?>
<ds:datastoreItem xmlns:ds="http://schemas.openxmlformats.org/officeDocument/2006/customXml" ds:itemID="{D9CE8932-571B-47E7-959C-35E8D4A48BF1}">
  <ds:schemaRefs/>
</ds:datastoreItem>
</file>

<file path=customXml/itemProps9.xml><?xml version="1.0" encoding="utf-8"?>
<ds:datastoreItem xmlns:ds="http://schemas.openxmlformats.org/officeDocument/2006/customXml" ds:itemID="{FC7F79F6-0F87-4883-A582-32B0D03A392E}">
  <ds:schemaRefs/>
</ds:datastoreItem>
</file>

<file path=customXml/itemProps10.xml><?xml version="1.0" encoding="utf-8"?>
<ds:datastoreItem xmlns:ds="http://schemas.openxmlformats.org/officeDocument/2006/customXml" ds:itemID="{40300B02-FE25-4338-AA3F-5CB9010EC65B}">
  <ds:schemaRefs>
    <ds:schemaRef ds:uri="http://schemas.microsoft.com/DataMashup"/>
  </ds:schemaRefs>
</ds:datastoreItem>
</file>

<file path=customXml/itemProps11.xml><?xml version="1.0" encoding="utf-8"?>
<ds:datastoreItem xmlns:ds="http://schemas.openxmlformats.org/officeDocument/2006/customXml" ds:itemID="{71C96474-7284-48CB-A613-2EA945D74C94}">
  <ds:schemaRefs/>
</ds:datastoreItem>
</file>

<file path=customXml/itemProps12.xml><?xml version="1.0" encoding="utf-8"?>
<ds:datastoreItem xmlns:ds="http://schemas.openxmlformats.org/officeDocument/2006/customXml" ds:itemID="{17C7F87F-5DDA-49D4-9F94-4CE0D8BF65B3}">
  <ds:schemaRefs/>
</ds:datastoreItem>
</file>

<file path=customXml/itemProps13.xml><?xml version="1.0" encoding="utf-8"?>
<ds:datastoreItem xmlns:ds="http://schemas.openxmlformats.org/officeDocument/2006/customXml" ds:itemID="{BED0FEF9-7569-4485-9BF9-2FF34893AF48}">
  <ds:schemaRefs/>
</ds:datastoreItem>
</file>

<file path=customXml/itemProps14.xml><?xml version="1.0" encoding="utf-8"?>
<ds:datastoreItem xmlns:ds="http://schemas.openxmlformats.org/officeDocument/2006/customXml" ds:itemID="{5408DED4-59D5-4414-B16C-D710AA5823A4}">
  <ds:schemaRefs/>
</ds:datastoreItem>
</file>

<file path=customXml/itemProps15.xml><?xml version="1.0" encoding="utf-8"?>
<ds:datastoreItem xmlns:ds="http://schemas.openxmlformats.org/officeDocument/2006/customXml" ds:itemID="{60993FD9-7F11-49C4-B372-C72AC80B5E38}">
  <ds:schemaRefs/>
</ds:datastoreItem>
</file>

<file path=customXml/itemProps16.xml><?xml version="1.0" encoding="utf-8"?>
<ds:datastoreItem xmlns:ds="http://schemas.openxmlformats.org/officeDocument/2006/customXml" ds:itemID="{5359ED96-B240-498C-AE8E-3E826AC7AC23}">
  <ds:schemaRefs/>
</ds:datastoreItem>
</file>

<file path=customXml/itemProps17.xml><?xml version="1.0" encoding="utf-8"?>
<ds:datastoreItem xmlns:ds="http://schemas.openxmlformats.org/officeDocument/2006/customXml" ds:itemID="{7BD14788-EB85-47EF-96FE-210B21672B49}">
  <ds:schemaRefs/>
</ds:datastoreItem>
</file>

<file path=customXml/itemProps18.xml><?xml version="1.0" encoding="utf-8"?>
<ds:datastoreItem xmlns:ds="http://schemas.openxmlformats.org/officeDocument/2006/customXml" ds:itemID="{A70CC7A8-7CF9-4579-8A70-7794C8F8B43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Daily Avg Wait Time Trend</vt:lpstr>
      <vt:lpstr>Daily no of Patient Trend</vt:lpstr>
      <vt:lpstr>Patients Satisfaction trend</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Risit Sahoo</dc:creator>
  <cp:lastModifiedBy>Risit Sahoo</cp:lastModifiedBy>
  <dcterms:created xsi:type="dcterms:W3CDTF">2026-07-18T14:19:27Z</dcterms:created>
  <dcterms:modified xsi:type="dcterms:W3CDTF">2026-09-20T14:26:43Z</dcterms:modified>
</cp:coreProperties>
</file>